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155" activeTab="2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Okt14'!$A$2:$K$44</definedName>
    <definedName name="_xlnm.Print_Area" localSheetId="0">'CKP-T Okt14'!$A$2:$I$27</definedName>
    <definedName name="_xlnm.Print_Area" localSheetId="1">'LP Okt14'!$A$1:$H$97</definedName>
  </definedNames>
  <calcPr calcId="145621"/>
</workbook>
</file>

<file path=xl/calcChain.xml><?xml version="1.0" encoding="utf-8"?>
<calcChain xmlns="http://schemas.openxmlformats.org/spreadsheetml/2006/main">
  <c r="G34" i="3" l="1"/>
  <c r="G35" i="3"/>
  <c r="G66" i="3"/>
  <c r="G67" i="3"/>
  <c r="G68" i="3"/>
  <c r="G69" i="3"/>
  <c r="G70" i="3"/>
  <c r="G71" i="3"/>
  <c r="G72" i="3"/>
  <c r="J21" i="2"/>
  <c r="G21" i="2"/>
  <c r="G20" i="2"/>
  <c r="G22" i="2"/>
  <c r="J22" i="2"/>
  <c r="G83" i="3"/>
  <c r="G58" i="3"/>
  <c r="G59" i="3"/>
  <c r="G44" i="3"/>
  <c r="G57" i="3"/>
  <c r="G15" i="3" l="1"/>
  <c r="G16" i="3"/>
  <c r="G19" i="2" l="1"/>
  <c r="J19" i="2"/>
  <c r="G18" i="2"/>
  <c r="J18" i="2"/>
  <c r="G15" i="2"/>
  <c r="G16" i="2"/>
  <c r="G17" i="2"/>
  <c r="G14" i="2"/>
  <c r="J17" i="2"/>
  <c r="J14" i="2"/>
  <c r="J15" i="2"/>
  <c r="J16" i="2"/>
  <c r="J23" i="2" l="1"/>
  <c r="G78" i="3"/>
  <c r="G63" i="3"/>
  <c r="G49" i="3"/>
  <c r="G43" i="3"/>
  <c r="G39" i="3"/>
  <c r="G38" i="3"/>
  <c r="G36" i="3"/>
  <c r="G37" i="3"/>
  <c r="G26" i="3"/>
  <c r="G20" i="3"/>
  <c r="G21" i="3"/>
  <c r="G22" i="3"/>
  <c r="G13" i="3"/>
  <c r="G14" i="3"/>
  <c r="G75" i="3"/>
  <c r="G60" i="3" l="1"/>
  <c r="G27" i="3"/>
  <c r="G82" i="3" l="1"/>
  <c r="G81" i="3"/>
  <c r="G80" i="3"/>
  <c r="G79" i="3"/>
  <c r="G77" i="3"/>
  <c r="G76" i="3"/>
  <c r="G74" i="3"/>
  <c r="G73" i="3"/>
  <c r="G65" i="3"/>
  <c r="G64" i="3"/>
  <c r="G62" i="3"/>
  <c r="G61" i="3"/>
  <c r="G31" i="3"/>
  <c r="G32" i="3"/>
  <c r="G33" i="3"/>
  <c r="G40" i="3"/>
  <c r="G41" i="3"/>
  <c r="G42" i="3"/>
  <c r="G45" i="3"/>
  <c r="G46" i="3"/>
  <c r="G47" i="3"/>
  <c r="G48" i="3"/>
  <c r="G50" i="3"/>
  <c r="G51" i="3"/>
  <c r="G52" i="3"/>
  <c r="G53" i="3"/>
  <c r="G54" i="3"/>
  <c r="G28" i="3" l="1"/>
  <c r="G29" i="3"/>
  <c r="G30" i="3"/>
  <c r="G25" i="3"/>
  <c r="G24" i="3"/>
  <c r="G17" i="3"/>
  <c r="G23" i="3" l="1"/>
  <c r="G19" i="3"/>
  <c r="G18" i="3"/>
  <c r="G12" i="3"/>
  <c r="G11" i="3"/>
  <c r="H32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32" i="2"/>
  <c r="G33" i="2" s="1"/>
</calcChain>
</file>

<file path=xl/sharedStrings.xml><?xml version="1.0" encoding="utf-8"?>
<sst xmlns="http://schemas.openxmlformats.org/spreadsheetml/2006/main" count="300" uniqueCount="124">
  <si>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</si>
  <si>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</si>
  <si>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</si>
  <si>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</si>
  <si>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</si>
  <si>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</si>
  <si>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</si>
  <si>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</si>
  <si>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</si>
  <si>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</si>
  <si>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</si>
  <si>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</si>
  <si>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</si>
  <si>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</si>
  <si>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</si>
  <si>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</si>
  <si>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</si>
  <si>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</si>
  <si>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</si>
  <si>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</si>
  <si>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</si>
  <si>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</si>
  <si>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</si>
  <si>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</si>
  <si>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</si>
  <si>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</si>
  <si>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</si>
  <si>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</si>
  <si>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</si>
  <si>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</si>
  <si>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</si>
  <si>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</si>
  <si>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</si>
  <si>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</si>
  <si>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</si>
  <si>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</si>
  <si>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</si>
  <si>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</si>
  <si>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</si>
  <si>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</si>
  <si>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</si>
  <si>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</si>
  <si>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</si>
  <si>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</si>
  <si>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</si>
  <si>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Jum'at</t>
  </si>
  <si>
    <t>Senin</t>
  </si>
  <si>
    <t>Selasa</t>
  </si>
  <si>
    <t>TARGET KINERJA PEGAWAI TAHUN 2016</t>
  </si>
  <si>
    <t>CAPAIAN KINERJA PEGAWAI TAHUN 2016</t>
  </si>
  <si>
    <t>Melayani permintaan data</t>
  </si>
  <si>
    <t>Tanggal:</t>
  </si>
  <si>
    <t>Kesepakatan Kinerja</t>
  </si>
  <si>
    <t>Rabu</t>
  </si>
  <si>
    <t>Kamis</t>
  </si>
  <si>
    <t>tabel</t>
  </si>
  <si>
    <t>unit-update</t>
  </si>
  <si>
    <r>
      <t xml:space="preserve">upload tabel dinamis ke </t>
    </r>
    <r>
      <rPr>
        <i/>
        <sz val="11"/>
        <color theme="1"/>
        <rFont val="Calibri"/>
        <family val="2"/>
        <scheme val="minor"/>
      </rPr>
      <t>website</t>
    </r>
  </si>
  <si>
    <t>Dokumen</t>
  </si>
  <si>
    <t>Mengumpulkan CKP, LP Pegawai</t>
  </si>
  <si>
    <t>Memperbaiki Jaringan</t>
  </si>
  <si>
    <t>Mengelola Website BPS Kota Bontang</t>
  </si>
  <si>
    <t>Upload infoGrafis di Website</t>
  </si>
  <si>
    <t>Perawatan Jaringan</t>
  </si>
  <si>
    <r>
      <t xml:space="preserve">Upload Tabel statis di </t>
    </r>
    <r>
      <rPr>
        <i/>
        <sz val="11"/>
        <color theme="1"/>
        <rFont val="Calibri"/>
        <family val="2"/>
        <scheme val="minor"/>
      </rPr>
      <t>Website</t>
    </r>
  </si>
  <si>
    <t>Rekap Absensi</t>
  </si>
  <si>
    <t>Rapat Bersama Kepala BPS</t>
  </si>
  <si>
    <t>Membuat Surat Pengantar</t>
  </si>
  <si>
    <t>Rekap Absen</t>
  </si>
  <si>
    <t xml:space="preserve">Membuat Aplikasi Pesut untuk Provinsi </t>
  </si>
  <si>
    <t>Mengelola Website BPS Bontang</t>
  </si>
  <si>
    <t>Rekam KGB Hergiyas</t>
  </si>
  <si>
    <t>membuat SK KGB Hergiyas</t>
  </si>
  <si>
    <t>Mengelola Absen Online</t>
  </si>
  <si>
    <t>.</t>
  </si>
  <si>
    <t>UTAMA</t>
  </si>
  <si>
    <t>TAMBAHAN</t>
  </si>
  <si>
    <t>naskah</t>
  </si>
  <si>
    <t>Update aplikasi entri Wisnus</t>
  </si>
  <si>
    <t>Membuat SK KGB</t>
  </si>
  <si>
    <t>: November 2016</t>
  </si>
  <si>
    <t>Print Kartu pegawai</t>
  </si>
  <si>
    <t>Rekam SK KGB</t>
  </si>
  <si>
    <t>Membuat daftar Gaji</t>
  </si>
  <si>
    <t>: Desember 2016</t>
  </si>
  <si>
    <t>18 Desember 2016</t>
  </si>
  <si>
    <t>Tanggal: 1 Desember 2016</t>
  </si>
  <si>
    <t>Tanggal: 2 Desember 2016</t>
  </si>
  <si>
    <t>Update Apikasi Wisnus</t>
  </si>
  <si>
    <t>Update data pegawai</t>
  </si>
  <si>
    <t>Kirim pajak</t>
  </si>
  <si>
    <t>Print PP Pedoman Penerimaan dan pengeluaran Negara akhir tahun 2016</t>
  </si>
  <si>
    <t>Rekam Gaji Pokok</t>
  </si>
  <si>
    <t>Rekam SK Rizaldy</t>
  </si>
  <si>
    <t>Validasi gaji</t>
  </si>
  <si>
    <t>Melayani Permintaan data</t>
  </si>
  <si>
    <t>Olahraga</t>
  </si>
  <si>
    <t>Print surat tugas SE</t>
  </si>
  <si>
    <t>Desain dinding IPDS</t>
  </si>
  <si>
    <t>Memperbaiki Layout DDA Bapeda</t>
  </si>
  <si>
    <t>Cek Buku Masuk</t>
  </si>
  <si>
    <t>Print TK</t>
  </si>
  <si>
    <t>Membuat surat tugas mandiri</t>
  </si>
  <si>
    <t>Cover Realisasi Anggaran</t>
  </si>
  <si>
    <t>Upacara hari pahlawan</t>
  </si>
  <si>
    <t>Petugas Pembaca Doa</t>
  </si>
  <si>
    <t>Print Revisi Kuasa Pengguna Anggaran</t>
  </si>
  <si>
    <t>Membuat Surat Perjalanan Dinas</t>
  </si>
  <si>
    <t>DL Ke BPS Provinsi</t>
  </si>
  <si>
    <t>Rapat StatCap-Cerdas</t>
  </si>
  <si>
    <t>Membuat Notulen Rapat</t>
  </si>
  <si>
    <t>Menyuting Publikasi Neraca Bahan Makanan</t>
  </si>
  <si>
    <t>Menyuting Publikasi PPH</t>
  </si>
  <si>
    <t>mengelola absen online</t>
  </si>
  <si>
    <t>Rekam Kenaikakan Pangkat</t>
  </si>
  <si>
    <t>DL Ke BPS Provinsi Perbaikan Entry Sensus Ekonomi</t>
  </si>
  <si>
    <t>Mendesain tamplate layout Publikasi Bontang Dalam Angka Bapeda</t>
  </si>
  <si>
    <t>Melakukan Editing Publikasi APM</t>
  </si>
  <si>
    <t>Publikasi</t>
  </si>
  <si>
    <t>Perbaikan Scanner</t>
  </si>
  <si>
    <t>Merekap Surat Tugas Petugas SE 2016</t>
  </si>
  <si>
    <t>Entri TK</t>
  </si>
  <si>
    <t>Perbaikan Entry SE 2016</t>
  </si>
  <si>
    <t>Kuesioner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</si>
</sst>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Segoe U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</cellStyleXfs>
  <cellXfs count="154">
    <xf numFmtId="0" fontId="0" fillId="0" borderId="0" xfId="0"/>
    <xf numFmtId="0" fontId="4" fillId="0" borderId="0" xfId="0" applyFont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9" fontId="3" fillId="0" borderId="7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7" xfId="0" applyFont="1" applyFill="1" applyBorder="1" applyAlignment="1">
      <alignment vertical="center" wrapText="1"/>
    </xf>
    <xf numFmtId="164" fontId="0" fillId="0" borderId="7" xfId="0" applyNumberFormat="1" applyFont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16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/>
    <xf numFmtId="0" fontId="0" fillId="0" borderId="0" xfId="0" applyBorder="1" applyAlignment="1"/>
    <xf numFmtId="164" fontId="0" fillId="0" borderId="12" xfId="0" applyNumberFormat="1" applyBorder="1" applyAlignment="1">
      <alignment horizontal="center" vertical="center"/>
    </xf>
    <xf numFmtId="43" fontId="0" fillId="0" borderId="7" xfId="8" applyFont="1" applyBorder="1"/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164" fontId="6" fillId="0" borderId="12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7" xfId="0" applyNumberFormat="1" applyFont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164" fontId="0" fillId="0" borderId="7" xfId="0" applyNumberFormat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43" fontId="0" fillId="0" borderId="3" xfId="8" applyFont="1" applyBorder="1"/>
    <xf numFmtId="43" fontId="0" fillId="0" borderId="6" xfId="8" applyFont="1" applyBorder="1"/>
    <xf numFmtId="164" fontId="3" fillId="0" borderId="7" xfId="0" applyNumberFormat="1" applyFont="1" applyBorder="1" applyAlignment="1">
      <alignment horizontal="center" vertical="center"/>
    </xf>
    <xf numFmtId="0" fontId="0" fillId="0" borderId="19" xfId="0" applyBorder="1"/>
    <xf numFmtId="164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13" xfId="0" applyBorder="1"/>
    <xf numFmtId="2" fontId="5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6" fillId="0" borderId="7" xfId="0" applyNumberFormat="1" applyFont="1" applyFill="1" applyBorder="1" applyAlignment="1">
      <alignment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64" fontId="0" fillId="0" borderId="7" xfId="0" applyNumberFormat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164" fontId="6" fillId="0" borderId="8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9" fontId="6" fillId="0" borderId="3" xfId="1" applyFont="1" applyFill="1" applyBorder="1" applyAlignment="1">
      <alignment horizontal="center" vertical="center"/>
    </xf>
    <xf numFmtId="9" fontId="6" fillId="0" borderId="8" xfId="1" applyFont="1" applyFill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7" xfId="0" applyFont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2">
    <cellStyle name="Comma" xfId="8" builtinId="3"/>
    <cellStyle name="Comma [0] 2" xfId="10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11"/>
    <cellStyle name="Normal 8 2" xfId="9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view="pageBreakPreview" topLeftCell="A13" zoomScaleNormal="100" zoomScaleSheetLayoutView="100" workbookViewId="0">
      <selection activeCell="C19" sqref="C19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86" t="s">
        <v>0</v>
      </c>
      <c r="I2" s="87"/>
    </row>
    <row r="3" spans="1:9" ht="18.75" x14ac:dyDescent="0.3">
      <c r="A3" s="88" t="s">
        <v>48</v>
      </c>
      <c r="B3" s="88"/>
      <c r="C3" s="88"/>
      <c r="D3" s="88"/>
      <c r="E3" s="88"/>
      <c r="F3" s="88"/>
      <c r="G3" s="88"/>
      <c r="H3" s="88"/>
      <c r="I3" s="88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8" t="s">
        <v>33</v>
      </c>
    </row>
    <row r="7" spans="1:9" x14ac:dyDescent="0.25">
      <c r="A7" t="s">
        <v>4</v>
      </c>
      <c r="C7" s="8" t="s">
        <v>34</v>
      </c>
    </row>
    <row r="8" spans="1:9" x14ac:dyDescent="0.25">
      <c r="A8" t="s">
        <v>5</v>
      </c>
      <c r="C8" t="s">
        <v>84</v>
      </c>
    </row>
    <row r="9" spans="1:9" x14ac:dyDescent="0.25">
      <c r="A9" s="89" t="s">
        <v>6</v>
      </c>
      <c r="B9" s="89" t="s">
        <v>7</v>
      </c>
      <c r="C9" s="89"/>
      <c r="D9" s="89" t="s">
        <v>8</v>
      </c>
      <c r="E9" s="89" t="s">
        <v>9</v>
      </c>
      <c r="F9" s="89"/>
      <c r="G9" s="89"/>
      <c r="H9" s="90" t="s">
        <v>10</v>
      </c>
      <c r="I9" s="89" t="s">
        <v>11</v>
      </c>
    </row>
    <row r="10" spans="1:9" x14ac:dyDescent="0.25">
      <c r="A10" s="89"/>
      <c r="B10" s="89"/>
      <c r="C10" s="89"/>
      <c r="D10" s="89"/>
      <c r="E10" s="42" t="s">
        <v>12</v>
      </c>
      <c r="F10" s="42" t="s">
        <v>13</v>
      </c>
      <c r="G10" s="42" t="s">
        <v>14</v>
      </c>
      <c r="H10" s="90"/>
      <c r="I10" s="89"/>
    </row>
    <row r="11" spans="1:9" x14ac:dyDescent="0.25">
      <c r="A11" s="41">
        <v>-1</v>
      </c>
      <c r="B11" s="92">
        <f>A11-1</f>
        <v>-2</v>
      </c>
      <c r="C11" s="92"/>
      <c r="D11" s="41">
        <f>B11-1</f>
        <v>-3</v>
      </c>
      <c r="E11" s="48">
        <f>D11-1</f>
        <v>-4</v>
      </c>
      <c r="F11" s="48">
        <f>E11-1</f>
        <v>-5</v>
      </c>
      <c r="G11" s="48">
        <f>F11-1</f>
        <v>-6</v>
      </c>
      <c r="H11" s="48">
        <f>G11-1</f>
        <v>-7</v>
      </c>
      <c r="I11" s="48">
        <f>H11-1</f>
        <v>-8</v>
      </c>
    </row>
    <row r="12" spans="1:9" x14ac:dyDescent="0.25">
      <c r="A12" s="57">
        <v>1</v>
      </c>
      <c r="B12" s="91" t="s">
        <v>50</v>
      </c>
      <c r="C12" s="91"/>
      <c r="D12" s="47" t="s">
        <v>35</v>
      </c>
      <c r="E12" s="57">
        <v>2</v>
      </c>
      <c r="F12" s="58"/>
      <c r="G12" s="58"/>
      <c r="H12" s="58"/>
      <c r="I12" s="58"/>
    </row>
    <row r="13" spans="1:9" x14ac:dyDescent="0.25">
      <c r="A13" s="57">
        <v>2</v>
      </c>
      <c r="B13" s="91" t="s">
        <v>64</v>
      </c>
      <c r="C13" s="91"/>
      <c r="D13" s="47" t="s">
        <v>55</v>
      </c>
      <c r="E13" s="57">
        <v>5</v>
      </c>
      <c r="F13" s="58"/>
      <c r="G13" s="58"/>
      <c r="H13" s="58"/>
      <c r="I13" s="58"/>
    </row>
    <row r="14" spans="1:9" x14ac:dyDescent="0.25">
      <c r="A14" s="57">
        <v>4</v>
      </c>
      <c r="B14" s="91" t="s">
        <v>62</v>
      </c>
      <c r="C14" s="91"/>
      <c r="D14" s="47" t="s">
        <v>56</v>
      </c>
      <c r="E14" s="60">
        <v>3</v>
      </c>
      <c r="F14" s="58"/>
      <c r="G14" s="58"/>
      <c r="H14" s="58"/>
      <c r="I14" s="58"/>
    </row>
    <row r="15" spans="1:9" ht="15" customHeight="1" x14ac:dyDescent="0.25">
      <c r="A15" s="57">
        <v>5</v>
      </c>
      <c r="B15" s="91" t="s">
        <v>57</v>
      </c>
      <c r="C15" s="91"/>
      <c r="D15" s="47" t="s">
        <v>55</v>
      </c>
      <c r="E15" s="57">
        <v>5</v>
      </c>
      <c r="F15" s="57"/>
      <c r="G15" s="47"/>
      <c r="H15" s="47"/>
      <c r="I15" s="59"/>
    </row>
    <row r="16" spans="1:9" ht="15" customHeight="1" x14ac:dyDescent="0.25">
      <c r="A16" s="57">
        <v>6</v>
      </c>
      <c r="B16" s="91" t="s">
        <v>63</v>
      </c>
      <c r="C16" s="91"/>
      <c r="D16" s="47" t="s">
        <v>35</v>
      </c>
      <c r="E16" s="57">
        <v>1</v>
      </c>
      <c r="F16" s="57"/>
      <c r="G16" s="47"/>
      <c r="H16" s="47"/>
      <c r="I16" s="59"/>
    </row>
    <row r="17" spans="1:9" ht="15" customHeight="1" x14ac:dyDescent="0.25">
      <c r="A17" s="43"/>
      <c r="B17" s="44"/>
      <c r="C17" s="44"/>
      <c r="D17" s="45"/>
      <c r="E17" s="43"/>
      <c r="F17" s="43"/>
      <c r="G17" s="45"/>
      <c r="H17" s="46"/>
      <c r="I17" s="31"/>
    </row>
    <row r="18" spans="1:9" ht="15" customHeight="1" x14ac:dyDescent="0.25">
      <c r="B18" s="3" t="s">
        <v>52</v>
      </c>
    </row>
    <row r="19" spans="1:9" ht="15" customHeight="1" x14ac:dyDescent="0.25">
      <c r="B19" t="s">
        <v>51</v>
      </c>
      <c r="C19" s="40" t="s">
        <v>85</v>
      </c>
    </row>
    <row r="21" spans="1:9" ht="15" customHeight="1" x14ac:dyDescent="0.25">
      <c r="A21" s="4"/>
      <c r="B21" s="83" t="s">
        <v>16</v>
      </c>
      <c r="C21" s="83"/>
      <c r="D21" s="4"/>
      <c r="F21" s="83" t="s">
        <v>17</v>
      </c>
      <c r="G21" s="83"/>
      <c r="H21" s="83"/>
    </row>
    <row r="22" spans="1:9" ht="15" customHeight="1" x14ac:dyDescent="0.25">
      <c r="A22" s="4"/>
      <c r="B22" s="83" t="s">
        <v>39</v>
      </c>
      <c r="C22" s="83"/>
      <c r="D22" s="83" t="s">
        <v>40</v>
      </c>
      <c r="E22" s="83"/>
      <c r="F22" s="83"/>
      <c r="G22" s="83"/>
      <c r="H22" s="83"/>
      <c r="I22" s="83"/>
    </row>
    <row r="23" spans="1:9" x14ac:dyDescent="0.25">
      <c r="A23" s="4"/>
      <c r="B23" s="13"/>
      <c r="C23" s="13"/>
      <c r="D23" s="4"/>
      <c r="E23" s="4"/>
      <c r="F23" s="7"/>
      <c r="G23" s="6"/>
      <c r="H23" s="12"/>
    </row>
    <row r="24" spans="1:9" x14ac:dyDescent="0.25">
      <c r="A24" s="4"/>
      <c r="B24" s="4"/>
      <c r="C24" s="5"/>
      <c r="D24" s="4"/>
      <c r="E24" s="4"/>
      <c r="F24" s="7"/>
      <c r="G24" s="6"/>
      <c r="H24" s="12"/>
    </row>
    <row r="25" spans="1:9" x14ac:dyDescent="0.25">
      <c r="A25" s="4"/>
      <c r="B25" s="4"/>
      <c r="D25" s="4"/>
      <c r="E25" s="4"/>
      <c r="F25" s="7"/>
      <c r="G25" s="6"/>
      <c r="H25" s="12"/>
    </row>
    <row r="26" spans="1:9" x14ac:dyDescent="0.25">
      <c r="A26" s="4"/>
      <c r="B26" s="84" t="s">
        <v>36</v>
      </c>
      <c r="C26" s="84"/>
      <c r="D26" s="4"/>
      <c r="E26" s="4"/>
      <c r="F26" s="81" t="s">
        <v>43</v>
      </c>
      <c r="G26" s="81"/>
      <c r="H26" s="81"/>
    </row>
    <row r="27" spans="1:9" ht="15" customHeight="1" x14ac:dyDescent="0.25">
      <c r="A27" s="4"/>
      <c r="B27" s="85" t="s">
        <v>37</v>
      </c>
      <c r="C27" s="85"/>
      <c r="D27" s="4"/>
      <c r="E27" s="4"/>
      <c r="F27" s="82" t="s">
        <v>38</v>
      </c>
      <c r="G27" s="82"/>
      <c r="H27" s="82"/>
    </row>
  </sheetData>
  <mergeCells count="22">
    <mergeCell ref="B16:C16"/>
    <mergeCell ref="B11:C11"/>
    <mergeCell ref="B15:C15"/>
    <mergeCell ref="B12:C12"/>
    <mergeCell ref="B13:C13"/>
    <mergeCell ref="B14:C14"/>
    <mergeCell ref="H2:I2"/>
    <mergeCell ref="A3:I3"/>
    <mergeCell ref="A9:A10"/>
    <mergeCell ref="B9:C10"/>
    <mergeCell ref="D9:D10"/>
    <mergeCell ref="E9:G9"/>
    <mergeCell ref="H9:H10"/>
    <mergeCell ref="I9:I10"/>
    <mergeCell ref="F26:H26"/>
    <mergeCell ref="F27:H27"/>
    <mergeCell ref="B21:C21"/>
    <mergeCell ref="B22:C22"/>
    <mergeCell ref="B26:C26"/>
    <mergeCell ref="B27:C27"/>
    <mergeCell ref="D22:I22"/>
    <mergeCell ref="F21:H21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7"/>
  <sheetViews>
    <sheetView view="pageBreakPreview" topLeftCell="A16" zoomScale="80" zoomScaleNormal="100" zoomScaleSheetLayoutView="80" workbookViewId="0">
      <selection activeCell="D33" sqref="D33:G35"/>
    </sheetView>
  </sheetViews>
  <sheetFormatPr defaultRowHeight="15" x14ac:dyDescent="0.25"/>
  <cols>
    <col min="1" max="1" width="7.85546875" bestFit="1" customWidth="1"/>
    <col min="2" max="2" width="11.42578125" customWidth="1"/>
    <col min="3" max="3" width="53" customWidth="1"/>
    <col min="4" max="6" width="13" customWidth="1"/>
    <col min="7" max="7" width="8.140625" customWidth="1"/>
    <col min="8" max="8" width="7.42578125" customWidth="1"/>
  </cols>
  <sheetData>
    <row r="1" spans="1:8" ht="15.75" x14ac:dyDescent="0.25">
      <c r="A1" s="116" t="s">
        <v>21</v>
      </c>
      <c r="B1" s="116"/>
      <c r="C1" s="116"/>
      <c r="D1" s="116"/>
      <c r="E1" s="116"/>
      <c r="F1" s="116"/>
      <c r="G1" s="116"/>
      <c r="H1" s="116"/>
    </row>
    <row r="2" spans="1:8" x14ac:dyDescent="0.25">
      <c r="A2" s="127"/>
      <c r="B2" s="127"/>
      <c r="C2" s="127"/>
      <c r="D2" s="127"/>
      <c r="E2" s="127"/>
      <c r="F2" s="127"/>
      <c r="G2" s="127"/>
      <c r="H2" s="127"/>
    </row>
    <row r="3" spans="1:8" x14ac:dyDescent="0.25">
      <c r="A3" s="127"/>
      <c r="B3" s="8" t="s">
        <v>22</v>
      </c>
      <c r="C3" t="s">
        <v>2</v>
      </c>
      <c r="D3" s="128"/>
      <c r="E3" s="128"/>
      <c r="F3" s="128"/>
      <c r="G3" s="128"/>
      <c r="H3" s="128"/>
    </row>
    <row r="4" spans="1:8" x14ac:dyDescent="0.25">
      <c r="A4" s="127"/>
      <c r="B4" s="8" t="s">
        <v>3</v>
      </c>
      <c r="C4" s="8" t="s">
        <v>33</v>
      </c>
      <c r="D4" s="128"/>
      <c r="E4" s="128"/>
      <c r="F4" s="128"/>
      <c r="G4" s="128"/>
      <c r="H4" s="128"/>
    </row>
    <row r="5" spans="1:8" ht="15" customHeight="1" x14ac:dyDescent="0.25">
      <c r="A5" s="127"/>
      <c r="B5" s="8" t="s">
        <v>23</v>
      </c>
      <c r="C5" s="8" t="s">
        <v>34</v>
      </c>
      <c r="D5" s="128"/>
      <c r="E5" s="128"/>
      <c r="F5" s="128"/>
      <c r="G5" s="128"/>
      <c r="H5" s="128"/>
    </row>
    <row r="6" spans="1:8" x14ac:dyDescent="0.25">
      <c r="A6" s="127"/>
      <c r="B6" s="8" t="s">
        <v>5</v>
      </c>
      <c r="C6" s="9" t="s">
        <v>80</v>
      </c>
      <c r="D6" s="128"/>
      <c r="E6" s="128"/>
      <c r="F6" s="128"/>
      <c r="G6" s="128"/>
      <c r="H6" s="128"/>
    </row>
    <row r="7" spans="1:8" x14ac:dyDescent="0.25">
      <c r="A7" s="130"/>
      <c r="B7" s="129"/>
      <c r="C7" s="129"/>
      <c r="D7" s="129"/>
      <c r="E7" s="129"/>
      <c r="F7" s="129"/>
      <c r="G7" s="129"/>
      <c r="H7" s="129"/>
    </row>
    <row r="8" spans="1:8" x14ac:dyDescent="0.25">
      <c r="A8" s="117" t="s">
        <v>24</v>
      </c>
      <c r="B8" s="118"/>
      <c r="C8" s="123" t="s">
        <v>25</v>
      </c>
      <c r="D8" s="90" t="s">
        <v>26</v>
      </c>
      <c r="E8" s="90" t="s">
        <v>27</v>
      </c>
      <c r="F8" s="125" t="s">
        <v>13</v>
      </c>
      <c r="G8" s="125"/>
      <c r="H8" s="126" t="s">
        <v>11</v>
      </c>
    </row>
    <row r="9" spans="1:8" x14ac:dyDescent="0.25">
      <c r="A9" s="119"/>
      <c r="B9" s="120"/>
      <c r="C9" s="124"/>
      <c r="D9" s="90"/>
      <c r="E9" s="90"/>
      <c r="F9" s="10" t="s">
        <v>28</v>
      </c>
      <c r="G9" s="11" t="s">
        <v>14</v>
      </c>
      <c r="H9" s="126"/>
    </row>
    <row r="10" spans="1:8" x14ac:dyDescent="0.25">
      <c r="A10" s="121">
        <v>-1</v>
      </c>
      <c r="B10" s="122"/>
      <c r="C10" s="15">
        <v>-2</v>
      </c>
      <c r="D10" s="15">
        <v>-3</v>
      </c>
      <c r="E10" s="15">
        <v>-4</v>
      </c>
      <c r="F10" s="15">
        <v>-5</v>
      </c>
      <c r="G10" s="15">
        <v>-6</v>
      </c>
      <c r="H10" s="15">
        <v>-7</v>
      </c>
    </row>
    <row r="11" spans="1:8" x14ac:dyDescent="0.25">
      <c r="A11" s="104" t="s">
        <v>47</v>
      </c>
      <c r="B11" s="113">
        <v>42644</v>
      </c>
      <c r="C11" s="14" t="s">
        <v>44</v>
      </c>
      <c r="D11" s="54" t="s">
        <v>29</v>
      </c>
      <c r="E11" s="33">
        <v>1</v>
      </c>
      <c r="F11" s="33">
        <v>1</v>
      </c>
      <c r="G11" s="16">
        <f>F11/E11</f>
        <v>1</v>
      </c>
      <c r="H11" s="23"/>
    </row>
    <row r="12" spans="1:8" x14ac:dyDescent="0.25">
      <c r="A12" s="105"/>
      <c r="B12" s="114"/>
      <c r="C12" s="14" t="s">
        <v>32</v>
      </c>
      <c r="D12" s="54" t="s">
        <v>29</v>
      </c>
      <c r="E12" s="33">
        <v>1</v>
      </c>
      <c r="F12" s="33">
        <v>1</v>
      </c>
      <c r="G12" s="16">
        <f t="shared" ref="G12:G18" si="0">F12/E12</f>
        <v>1</v>
      </c>
      <c r="H12" s="23"/>
    </row>
    <row r="13" spans="1:8" x14ac:dyDescent="0.25">
      <c r="A13" s="105"/>
      <c r="B13" s="114"/>
      <c r="C13" s="14" t="s">
        <v>65</v>
      </c>
      <c r="D13" s="54" t="s">
        <v>29</v>
      </c>
      <c r="E13" s="33">
        <v>1</v>
      </c>
      <c r="F13" s="33">
        <v>1</v>
      </c>
      <c r="G13" s="16">
        <f t="shared" ref="G13:G14" si="1">F13/E13</f>
        <v>1</v>
      </c>
      <c r="H13" s="23"/>
    </row>
    <row r="14" spans="1:8" x14ac:dyDescent="0.25">
      <c r="A14" s="105"/>
      <c r="B14" s="114"/>
      <c r="C14" s="14" t="s">
        <v>88</v>
      </c>
      <c r="D14" s="54" t="s">
        <v>29</v>
      </c>
      <c r="E14" s="33">
        <v>1</v>
      </c>
      <c r="F14" s="33">
        <v>1</v>
      </c>
      <c r="G14" s="16">
        <f t="shared" si="1"/>
        <v>1</v>
      </c>
      <c r="H14" s="23"/>
    </row>
    <row r="15" spans="1:8" x14ac:dyDescent="0.25">
      <c r="A15" s="105"/>
      <c r="B15" s="114"/>
      <c r="C15" s="14" t="s">
        <v>90</v>
      </c>
      <c r="D15" s="54" t="s">
        <v>29</v>
      </c>
      <c r="E15" s="33">
        <v>1</v>
      </c>
      <c r="F15" s="33">
        <v>1</v>
      </c>
      <c r="G15" s="16">
        <f t="shared" ref="G15:G16" si="2">F15/E15</f>
        <v>1</v>
      </c>
      <c r="H15" s="23"/>
    </row>
    <row r="16" spans="1:8" x14ac:dyDescent="0.25">
      <c r="A16" s="105"/>
      <c r="B16" s="114"/>
      <c r="C16" s="14" t="s">
        <v>89</v>
      </c>
      <c r="D16" s="54" t="s">
        <v>29</v>
      </c>
      <c r="E16" s="33">
        <v>1</v>
      </c>
      <c r="F16" s="33">
        <v>1</v>
      </c>
      <c r="G16" s="16">
        <f t="shared" si="2"/>
        <v>1</v>
      </c>
      <c r="H16" s="23"/>
    </row>
    <row r="17" spans="1:8" x14ac:dyDescent="0.25">
      <c r="A17" s="105"/>
      <c r="B17" s="114"/>
      <c r="C17" s="14" t="s">
        <v>59</v>
      </c>
      <c r="D17" s="54" t="s">
        <v>29</v>
      </c>
      <c r="E17" s="33">
        <v>1</v>
      </c>
      <c r="F17" s="33">
        <v>1</v>
      </c>
      <c r="G17" s="16">
        <f t="shared" ref="G17" si="3">F17/E17</f>
        <v>1</v>
      </c>
      <c r="H17" s="23"/>
    </row>
    <row r="18" spans="1:8" x14ac:dyDescent="0.25">
      <c r="A18" s="104" t="s">
        <v>53</v>
      </c>
      <c r="B18" s="113">
        <v>42645</v>
      </c>
      <c r="C18" s="14" t="s">
        <v>44</v>
      </c>
      <c r="D18" s="54" t="s">
        <v>29</v>
      </c>
      <c r="E18" s="33">
        <v>1</v>
      </c>
      <c r="F18" s="33">
        <v>1</v>
      </c>
      <c r="G18" s="16">
        <f t="shared" si="0"/>
        <v>1</v>
      </c>
      <c r="H18" s="23"/>
    </row>
    <row r="19" spans="1:8" x14ac:dyDescent="0.25">
      <c r="A19" s="105"/>
      <c r="B19" s="114"/>
      <c r="C19" s="14" t="s">
        <v>32</v>
      </c>
      <c r="D19" s="54" t="s">
        <v>29</v>
      </c>
      <c r="E19" s="33">
        <v>1</v>
      </c>
      <c r="F19" s="33">
        <v>1</v>
      </c>
      <c r="G19" s="16">
        <f t="shared" ref="G19:G25" si="4">F19/E19</f>
        <v>1</v>
      </c>
      <c r="H19" s="23"/>
    </row>
    <row r="20" spans="1:8" ht="30" x14ac:dyDescent="0.25">
      <c r="A20" s="105"/>
      <c r="B20" s="114"/>
      <c r="C20" s="14" t="s">
        <v>91</v>
      </c>
      <c r="D20" s="54" t="s">
        <v>29</v>
      </c>
      <c r="E20" s="33">
        <v>1</v>
      </c>
      <c r="F20" s="33">
        <v>1</v>
      </c>
      <c r="G20" s="16">
        <f t="shared" ref="G20:G22" si="5">F20/E20</f>
        <v>1</v>
      </c>
      <c r="H20" s="23"/>
    </row>
    <row r="21" spans="1:8" x14ac:dyDescent="0.25">
      <c r="A21" s="105"/>
      <c r="B21" s="114"/>
      <c r="C21" s="14" t="s">
        <v>92</v>
      </c>
      <c r="D21" s="54" t="s">
        <v>29</v>
      </c>
      <c r="E21" s="33">
        <v>1</v>
      </c>
      <c r="F21" s="33">
        <v>1</v>
      </c>
      <c r="G21" s="16">
        <f t="shared" si="5"/>
        <v>1</v>
      </c>
      <c r="H21" s="23"/>
    </row>
    <row r="22" spans="1:8" x14ac:dyDescent="0.25">
      <c r="A22" s="105"/>
      <c r="B22" s="114"/>
      <c r="C22" s="14" t="s">
        <v>93</v>
      </c>
      <c r="D22" s="54" t="s">
        <v>29</v>
      </c>
      <c r="E22" s="33">
        <v>1</v>
      </c>
      <c r="F22" s="33">
        <v>1</v>
      </c>
      <c r="G22" s="16">
        <f t="shared" si="5"/>
        <v>1</v>
      </c>
      <c r="H22" s="23"/>
    </row>
    <row r="23" spans="1:8" x14ac:dyDescent="0.25">
      <c r="A23" s="105"/>
      <c r="B23" s="114"/>
      <c r="C23" s="14" t="s">
        <v>94</v>
      </c>
      <c r="D23" s="54" t="s">
        <v>29</v>
      </c>
      <c r="E23" s="33">
        <v>1</v>
      </c>
      <c r="F23" s="33">
        <v>1</v>
      </c>
      <c r="G23" s="16">
        <f t="shared" si="4"/>
        <v>1</v>
      </c>
      <c r="H23" s="23"/>
    </row>
    <row r="24" spans="1:8" x14ac:dyDescent="0.25">
      <c r="A24" s="104" t="s">
        <v>54</v>
      </c>
      <c r="B24" s="113">
        <v>42646</v>
      </c>
      <c r="C24" s="14" t="s">
        <v>44</v>
      </c>
      <c r="D24" s="54" t="s">
        <v>29</v>
      </c>
      <c r="E24" s="33">
        <v>1</v>
      </c>
      <c r="F24" s="33">
        <v>1</v>
      </c>
      <c r="G24" s="16">
        <f t="shared" si="4"/>
        <v>1</v>
      </c>
      <c r="H24" s="22"/>
    </row>
    <row r="25" spans="1:8" x14ac:dyDescent="0.25">
      <c r="A25" s="105"/>
      <c r="B25" s="114"/>
      <c r="C25" s="14" t="s">
        <v>32</v>
      </c>
      <c r="D25" s="54" t="s">
        <v>29</v>
      </c>
      <c r="E25" s="33">
        <v>1</v>
      </c>
      <c r="F25" s="33">
        <v>1</v>
      </c>
      <c r="G25" s="16">
        <f t="shared" si="4"/>
        <v>1</v>
      </c>
      <c r="H25" s="22"/>
    </row>
    <row r="26" spans="1:8" x14ac:dyDescent="0.25">
      <c r="A26" s="105"/>
      <c r="B26" s="114"/>
      <c r="C26" s="14" t="s">
        <v>95</v>
      </c>
      <c r="D26" s="54" t="s">
        <v>29</v>
      </c>
      <c r="E26" s="33">
        <v>1</v>
      </c>
      <c r="F26" s="33">
        <v>1</v>
      </c>
      <c r="G26" s="16">
        <f t="shared" ref="G26" si="6">F26/E26</f>
        <v>1</v>
      </c>
      <c r="H26" s="22"/>
    </row>
    <row r="27" spans="1:8" x14ac:dyDescent="0.25">
      <c r="A27" s="105"/>
      <c r="B27" s="114"/>
      <c r="C27" s="14" t="s">
        <v>60</v>
      </c>
      <c r="D27" s="54" t="s">
        <v>29</v>
      </c>
      <c r="E27" s="33">
        <v>1</v>
      </c>
      <c r="F27" s="33">
        <v>1</v>
      </c>
      <c r="G27" s="16">
        <f t="shared" ref="G27" si="7">F27/E27</f>
        <v>1</v>
      </c>
      <c r="H27" s="22"/>
    </row>
    <row r="28" spans="1:8" x14ac:dyDescent="0.25">
      <c r="A28" s="104" t="s">
        <v>45</v>
      </c>
      <c r="B28" s="113">
        <v>42647</v>
      </c>
      <c r="C28" s="14" t="s">
        <v>44</v>
      </c>
      <c r="D28" s="54" t="s">
        <v>29</v>
      </c>
      <c r="E28" s="33">
        <v>1</v>
      </c>
      <c r="F28" s="33">
        <v>1</v>
      </c>
      <c r="G28" s="16">
        <f t="shared" ref="G28:G30" si="8">F28/E28</f>
        <v>1</v>
      </c>
      <c r="H28" s="22"/>
    </row>
    <row r="29" spans="1:8" x14ac:dyDescent="0.25">
      <c r="A29" s="105"/>
      <c r="B29" s="114"/>
      <c r="C29" s="14" t="s">
        <v>32</v>
      </c>
      <c r="D29" s="54" t="s">
        <v>29</v>
      </c>
      <c r="E29" s="33">
        <v>1</v>
      </c>
      <c r="F29" s="33">
        <v>1</v>
      </c>
      <c r="G29" s="16">
        <f t="shared" si="8"/>
        <v>1</v>
      </c>
      <c r="H29" s="22"/>
    </row>
    <row r="30" spans="1:8" x14ac:dyDescent="0.25">
      <c r="A30" s="105"/>
      <c r="B30" s="114"/>
      <c r="C30" s="14" t="s">
        <v>96</v>
      </c>
      <c r="D30" s="54" t="s">
        <v>29</v>
      </c>
      <c r="E30" s="33">
        <v>1</v>
      </c>
      <c r="F30" s="33">
        <v>1</v>
      </c>
      <c r="G30" s="16">
        <f t="shared" si="8"/>
        <v>1</v>
      </c>
      <c r="H30" s="22"/>
    </row>
    <row r="31" spans="1:8" x14ac:dyDescent="0.25">
      <c r="A31" s="104" t="s">
        <v>46</v>
      </c>
      <c r="B31" s="113">
        <v>42650</v>
      </c>
      <c r="C31" s="14" t="s">
        <v>44</v>
      </c>
      <c r="D31" s="54" t="s">
        <v>29</v>
      </c>
      <c r="E31" s="33">
        <v>1</v>
      </c>
      <c r="F31" s="33">
        <v>1</v>
      </c>
      <c r="G31" s="16">
        <f t="shared" ref="G31:G60" si="9">F31/E31</f>
        <v>1</v>
      </c>
      <c r="H31" s="22"/>
    </row>
    <row r="32" spans="1:8" x14ac:dyDescent="0.25">
      <c r="A32" s="105"/>
      <c r="B32" s="114"/>
      <c r="C32" s="14" t="s">
        <v>32</v>
      </c>
      <c r="D32" s="54" t="s">
        <v>29</v>
      </c>
      <c r="E32" s="33">
        <v>1</v>
      </c>
      <c r="F32" s="33">
        <v>1</v>
      </c>
      <c r="G32" s="16">
        <f t="shared" si="9"/>
        <v>1</v>
      </c>
      <c r="H32" s="22"/>
    </row>
    <row r="33" spans="1:8" x14ac:dyDescent="0.25">
      <c r="A33" s="105"/>
      <c r="B33" s="114"/>
      <c r="C33" s="14" t="s">
        <v>97</v>
      </c>
      <c r="D33" s="54" t="s">
        <v>29</v>
      </c>
      <c r="E33" s="33">
        <v>1</v>
      </c>
      <c r="F33" s="33">
        <v>1</v>
      </c>
      <c r="G33" s="16">
        <f t="shared" si="9"/>
        <v>1</v>
      </c>
      <c r="H33" s="22"/>
    </row>
    <row r="34" spans="1:8" x14ac:dyDescent="0.25">
      <c r="A34" s="105"/>
      <c r="B34" s="114"/>
      <c r="C34" s="14" t="s">
        <v>102</v>
      </c>
      <c r="D34" s="54" t="s">
        <v>29</v>
      </c>
      <c r="E34" s="33">
        <v>1</v>
      </c>
      <c r="F34" s="33">
        <v>1</v>
      </c>
      <c r="G34" s="16">
        <f t="shared" ref="G34:G35" si="10">F34/E34</f>
        <v>1</v>
      </c>
      <c r="H34" s="22"/>
    </row>
    <row r="35" spans="1:8" x14ac:dyDescent="0.25">
      <c r="A35" s="106"/>
      <c r="B35" s="115"/>
      <c r="C35" s="14" t="s">
        <v>98</v>
      </c>
      <c r="D35" s="54" t="s">
        <v>29</v>
      </c>
      <c r="E35" s="33">
        <v>1</v>
      </c>
      <c r="F35" s="33">
        <v>1</v>
      </c>
      <c r="G35" s="16">
        <f t="shared" si="10"/>
        <v>1</v>
      </c>
      <c r="H35" s="22"/>
    </row>
    <row r="36" spans="1:8" x14ac:dyDescent="0.25">
      <c r="A36" s="104" t="s">
        <v>47</v>
      </c>
      <c r="B36" s="113">
        <v>42651</v>
      </c>
      <c r="C36" s="14" t="s">
        <v>44</v>
      </c>
      <c r="D36" s="54" t="s">
        <v>29</v>
      </c>
      <c r="E36" s="33">
        <v>1</v>
      </c>
      <c r="F36" s="33">
        <v>1</v>
      </c>
      <c r="G36" s="16">
        <f t="shared" ref="G36:G39" si="11">F36/E36</f>
        <v>1</v>
      </c>
      <c r="H36" s="22"/>
    </row>
    <row r="37" spans="1:8" x14ac:dyDescent="0.25">
      <c r="A37" s="105"/>
      <c r="B37" s="114"/>
      <c r="C37" s="14" t="s">
        <v>99</v>
      </c>
      <c r="D37" s="54" t="s">
        <v>29</v>
      </c>
      <c r="E37" s="33">
        <v>1</v>
      </c>
      <c r="F37" s="33">
        <v>1</v>
      </c>
      <c r="G37" s="16">
        <f t="shared" si="11"/>
        <v>1</v>
      </c>
      <c r="H37" s="22"/>
    </row>
    <row r="38" spans="1:8" x14ac:dyDescent="0.25">
      <c r="A38" s="105"/>
      <c r="B38" s="114"/>
      <c r="C38" s="14" t="s">
        <v>101</v>
      </c>
      <c r="D38" s="54" t="s">
        <v>29</v>
      </c>
      <c r="E38" s="33">
        <v>1</v>
      </c>
      <c r="F38" s="33">
        <v>1</v>
      </c>
      <c r="G38" s="16">
        <f t="shared" si="11"/>
        <v>1</v>
      </c>
      <c r="H38" s="22"/>
    </row>
    <row r="39" spans="1:8" x14ac:dyDescent="0.25">
      <c r="A39" s="106"/>
      <c r="B39" s="115"/>
      <c r="C39" s="14" t="s">
        <v>60</v>
      </c>
      <c r="D39" s="54" t="s">
        <v>29</v>
      </c>
      <c r="E39" s="33">
        <v>1</v>
      </c>
      <c r="F39" s="33">
        <v>1</v>
      </c>
      <c r="G39" s="16">
        <f t="shared" si="11"/>
        <v>1</v>
      </c>
      <c r="H39" s="22"/>
    </row>
    <row r="40" spans="1:8" x14ac:dyDescent="0.25">
      <c r="A40" s="104" t="s">
        <v>53</v>
      </c>
      <c r="B40" s="113">
        <v>42652</v>
      </c>
      <c r="C40" s="14" t="s">
        <v>44</v>
      </c>
      <c r="D40" s="54" t="s">
        <v>29</v>
      </c>
      <c r="E40" s="33">
        <v>1</v>
      </c>
      <c r="F40" s="33">
        <v>1</v>
      </c>
      <c r="G40" s="16">
        <f t="shared" si="9"/>
        <v>1</v>
      </c>
      <c r="H40" s="22"/>
    </row>
    <row r="41" spans="1:8" x14ac:dyDescent="0.25">
      <c r="A41" s="105"/>
      <c r="B41" s="114"/>
      <c r="C41" s="14" t="s">
        <v>32</v>
      </c>
      <c r="D41" s="54" t="s">
        <v>29</v>
      </c>
      <c r="E41" s="33">
        <v>1</v>
      </c>
      <c r="F41" s="33">
        <v>1</v>
      </c>
      <c r="G41" s="16">
        <f t="shared" si="9"/>
        <v>1</v>
      </c>
      <c r="H41" s="22"/>
    </row>
    <row r="42" spans="1:8" x14ac:dyDescent="0.25">
      <c r="A42" s="105"/>
      <c r="B42" s="114"/>
      <c r="C42" s="14" t="s">
        <v>99</v>
      </c>
      <c r="D42" s="54" t="s">
        <v>29</v>
      </c>
      <c r="E42" s="33">
        <v>1</v>
      </c>
      <c r="F42" s="33">
        <v>1</v>
      </c>
      <c r="G42" s="16">
        <f t="shared" si="9"/>
        <v>1</v>
      </c>
      <c r="H42" s="22"/>
    </row>
    <row r="43" spans="1:8" x14ac:dyDescent="0.25">
      <c r="A43" s="105"/>
      <c r="B43" s="114"/>
      <c r="C43" s="14" t="s">
        <v>100</v>
      </c>
      <c r="D43" s="54" t="s">
        <v>29</v>
      </c>
      <c r="E43" s="33">
        <v>1</v>
      </c>
      <c r="F43" s="33">
        <v>1</v>
      </c>
      <c r="G43" s="16">
        <f t="shared" ref="G43" si="12">F43/E43</f>
        <v>1</v>
      </c>
      <c r="H43" s="22"/>
    </row>
    <row r="44" spans="1:8" x14ac:dyDescent="0.25">
      <c r="A44" s="105"/>
      <c r="B44" s="114"/>
      <c r="C44" s="14" t="s">
        <v>103</v>
      </c>
      <c r="D44" s="54" t="s">
        <v>29</v>
      </c>
      <c r="E44" s="33">
        <v>1</v>
      </c>
      <c r="F44" s="33">
        <v>1</v>
      </c>
      <c r="G44" s="16">
        <f t="shared" ref="G44" si="13">F44/E44</f>
        <v>1</v>
      </c>
      <c r="H44" s="22"/>
    </row>
    <row r="45" spans="1:8" x14ac:dyDescent="0.25">
      <c r="A45" s="106"/>
      <c r="B45" s="115"/>
      <c r="C45" s="14" t="s">
        <v>65</v>
      </c>
      <c r="D45" s="54" t="s">
        <v>29</v>
      </c>
      <c r="E45" s="33">
        <v>1</v>
      </c>
      <c r="F45" s="33">
        <v>1</v>
      </c>
      <c r="G45" s="16">
        <f t="shared" si="9"/>
        <v>1</v>
      </c>
      <c r="H45" s="22"/>
    </row>
    <row r="46" spans="1:8" x14ac:dyDescent="0.25">
      <c r="A46" s="104" t="s">
        <v>54</v>
      </c>
      <c r="B46" s="113">
        <v>42653</v>
      </c>
      <c r="C46" s="14" t="s">
        <v>44</v>
      </c>
      <c r="D46" s="54" t="s">
        <v>29</v>
      </c>
      <c r="E46" s="33">
        <v>1</v>
      </c>
      <c r="F46" s="33">
        <v>1</v>
      </c>
      <c r="G46" s="16">
        <f t="shared" si="9"/>
        <v>1</v>
      </c>
      <c r="H46" s="22"/>
    </row>
    <row r="47" spans="1:8" x14ac:dyDescent="0.25">
      <c r="A47" s="105"/>
      <c r="B47" s="114"/>
      <c r="C47" s="14" t="s">
        <v>32</v>
      </c>
      <c r="D47" s="54" t="s">
        <v>29</v>
      </c>
      <c r="E47" s="33">
        <v>1</v>
      </c>
      <c r="F47" s="33">
        <v>1</v>
      </c>
      <c r="G47" s="16">
        <f t="shared" si="9"/>
        <v>1</v>
      </c>
      <c r="H47" s="22"/>
    </row>
    <row r="48" spans="1:8" x14ac:dyDescent="0.25">
      <c r="A48" s="105"/>
      <c r="B48" s="114"/>
      <c r="C48" s="14" t="s">
        <v>104</v>
      </c>
      <c r="D48" s="54" t="s">
        <v>29</v>
      </c>
      <c r="E48" s="33">
        <v>1</v>
      </c>
      <c r="F48" s="33">
        <v>1</v>
      </c>
      <c r="G48" s="16">
        <f t="shared" si="9"/>
        <v>1</v>
      </c>
      <c r="H48" s="22"/>
    </row>
    <row r="49" spans="1:8" x14ac:dyDescent="0.25">
      <c r="A49" s="105"/>
      <c r="B49" s="114"/>
      <c r="C49" s="14" t="s">
        <v>105</v>
      </c>
      <c r="D49" s="54" t="s">
        <v>29</v>
      </c>
      <c r="E49" s="33">
        <v>1</v>
      </c>
      <c r="F49" s="33">
        <v>1</v>
      </c>
      <c r="G49" s="16">
        <f t="shared" ref="G49" si="14">F49/E49</f>
        <v>1</v>
      </c>
      <c r="H49" s="22"/>
    </row>
    <row r="50" spans="1:8" x14ac:dyDescent="0.25">
      <c r="A50" s="104" t="s">
        <v>45</v>
      </c>
      <c r="B50" s="113">
        <v>42654</v>
      </c>
      <c r="C50" s="14" t="s">
        <v>44</v>
      </c>
      <c r="D50" s="54" t="s">
        <v>29</v>
      </c>
      <c r="E50" s="33">
        <v>1</v>
      </c>
      <c r="F50" s="33">
        <v>1</v>
      </c>
      <c r="G50" s="16">
        <f t="shared" si="9"/>
        <v>1</v>
      </c>
      <c r="H50" s="22"/>
    </row>
    <row r="51" spans="1:8" x14ac:dyDescent="0.25">
      <c r="A51" s="105"/>
      <c r="B51" s="114"/>
      <c r="C51" s="14" t="s">
        <v>32</v>
      </c>
      <c r="D51" s="54" t="s">
        <v>29</v>
      </c>
      <c r="E51" s="33">
        <v>1</v>
      </c>
      <c r="F51" s="33">
        <v>1</v>
      </c>
      <c r="G51" s="16">
        <f t="shared" si="9"/>
        <v>1</v>
      </c>
      <c r="H51" s="22"/>
    </row>
    <row r="52" spans="1:8" x14ac:dyDescent="0.25">
      <c r="A52" s="105"/>
      <c r="B52" s="114"/>
      <c r="C52" s="14" t="s">
        <v>106</v>
      </c>
      <c r="D52" s="54" t="s">
        <v>29</v>
      </c>
      <c r="E52" s="33">
        <v>1</v>
      </c>
      <c r="F52" s="33">
        <v>1</v>
      </c>
      <c r="G52" s="16">
        <f t="shared" si="9"/>
        <v>1</v>
      </c>
      <c r="H52" s="22"/>
    </row>
    <row r="53" spans="1:8" x14ac:dyDescent="0.25">
      <c r="A53" s="105"/>
      <c r="B53" s="114"/>
      <c r="C53" s="14" t="s">
        <v>107</v>
      </c>
      <c r="D53" s="54" t="s">
        <v>58</v>
      </c>
      <c r="E53" s="33">
        <v>5</v>
      </c>
      <c r="F53" s="33">
        <v>5</v>
      </c>
      <c r="G53" s="16">
        <f t="shared" si="9"/>
        <v>1</v>
      </c>
      <c r="H53" s="22"/>
    </row>
    <row r="54" spans="1:8" x14ac:dyDescent="0.25">
      <c r="A54" s="68" t="s">
        <v>46</v>
      </c>
      <c r="B54" s="69">
        <v>42657</v>
      </c>
      <c r="C54" s="101" t="s">
        <v>108</v>
      </c>
      <c r="D54" s="104" t="s">
        <v>29</v>
      </c>
      <c r="E54" s="107">
        <v>1</v>
      </c>
      <c r="F54" s="107">
        <v>1</v>
      </c>
      <c r="G54" s="110">
        <f t="shared" si="9"/>
        <v>1</v>
      </c>
      <c r="H54" s="93"/>
    </row>
    <row r="55" spans="1:8" x14ac:dyDescent="0.25">
      <c r="A55" s="68" t="s">
        <v>47</v>
      </c>
      <c r="B55" s="69">
        <v>42658</v>
      </c>
      <c r="C55" s="102"/>
      <c r="D55" s="105"/>
      <c r="E55" s="108"/>
      <c r="F55" s="108"/>
      <c r="G55" s="111"/>
      <c r="H55" s="94"/>
    </row>
    <row r="56" spans="1:8" x14ac:dyDescent="0.25">
      <c r="A56" s="68" t="s">
        <v>53</v>
      </c>
      <c r="B56" s="69">
        <v>42659</v>
      </c>
      <c r="C56" s="103"/>
      <c r="D56" s="106"/>
      <c r="E56" s="109"/>
      <c r="F56" s="109"/>
      <c r="G56" s="112"/>
      <c r="H56" s="95"/>
    </row>
    <row r="57" spans="1:8" x14ac:dyDescent="0.25">
      <c r="A57" s="104" t="s">
        <v>54</v>
      </c>
      <c r="B57" s="113">
        <v>42660</v>
      </c>
      <c r="C57" s="14" t="s">
        <v>32</v>
      </c>
      <c r="D57" s="54" t="s">
        <v>29</v>
      </c>
      <c r="E57" s="33">
        <v>1</v>
      </c>
      <c r="F57" s="33">
        <v>1</v>
      </c>
      <c r="G57" s="16">
        <f t="shared" ref="G57" si="15">F57/E57</f>
        <v>1</v>
      </c>
      <c r="H57" s="22"/>
    </row>
    <row r="58" spans="1:8" x14ac:dyDescent="0.25">
      <c r="A58" s="105"/>
      <c r="B58" s="114"/>
      <c r="C58" s="14" t="s">
        <v>44</v>
      </c>
      <c r="D58" s="54" t="s">
        <v>29</v>
      </c>
      <c r="E58" s="33">
        <v>1</v>
      </c>
      <c r="F58" s="33">
        <v>1</v>
      </c>
      <c r="G58" s="16">
        <f t="shared" ref="G58:G59" si="16">F58/E58</f>
        <v>1</v>
      </c>
      <c r="H58" s="22"/>
    </row>
    <row r="59" spans="1:8" x14ac:dyDescent="0.25">
      <c r="A59" s="105"/>
      <c r="B59" s="114"/>
      <c r="C59" s="61" t="s">
        <v>70</v>
      </c>
      <c r="D59" s="54" t="s">
        <v>29</v>
      </c>
      <c r="E59" s="33">
        <v>1</v>
      </c>
      <c r="F59" s="33">
        <v>1</v>
      </c>
      <c r="G59" s="16">
        <f t="shared" si="16"/>
        <v>1</v>
      </c>
      <c r="H59" s="22"/>
    </row>
    <row r="60" spans="1:8" x14ac:dyDescent="0.25">
      <c r="A60" s="106"/>
      <c r="B60" s="115"/>
      <c r="C60" s="14" t="s">
        <v>69</v>
      </c>
      <c r="D60" s="54" t="s">
        <v>29</v>
      </c>
      <c r="E60" s="33">
        <v>1</v>
      </c>
      <c r="F60" s="33">
        <v>1</v>
      </c>
      <c r="G60" s="16">
        <f t="shared" si="9"/>
        <v>1</v>
      </c>
      <c r="H60" s="22"/>
    </row>
    <row r="61" spans="1:8" x14ac:dyDescent="0.25">
      <c r="A61" s="104" t="s">
        <v>45</v>
      </c>
      <c r="B61" s="113">
        <v>42661</v>
      </c>
      <c r="C61" s="14" t="s">
        <v>44</v>
      </c>
      <c r="D61" s="54" t="s">
        <v>29</v>
      </c>
      <c r="E61" s="33">
        <v>1</v>
      </c>
      <c r="F61" s="33">
        <v>1</v>
      </c>
      <c r="G61" s="16">
        <f t="shared" ref="G61:G65" si="17">F61/E61</f>
        <v>1</v>
      </c>
      <c r="H61" s="22"/>
    </row>
    <row r="62" spans="1:8" x14ac:dyDescent="0.25">
      <c r="A62" s="105"/>
      <c r="B62" s="114"/>
      <c r="C62" s="14" t="s">
        <v>32</v>
      </c>
      <c r="D62" s="54" t="s">
        <v>29</v>
      </c>
      <c r="E62" s="33">
        <v>1</v>
      </c>
      <c r="F62" s="33">
        <v>1</v>
      </c>
      <c r="G62" s="16">
        <f t="shared" si="17"/>
        <v>1</v>
      </c>
      <c r="H62" s="22"/>
    </row>
    <row r="63" spans="1:8" x14ac:dyDescent="0.25">
      <c r="A63" s="105"/>
      <c r="B63" s="114"/>
      <c r="C63" s="14" t="s">
        <v>109</v>
      </c>
      <c r="D63" s="54" t="s">
        <v>29</v>
      </c>
      <c r="E63" s="33">
        <v>1</v>
      </c>
      <c r="F63" s="33">
        <v>1</v>
      </c>
      <c r="G63" s="16">
        <f t="shared" ref="G63" si="18">F63/E63</f>
        <v>1</v>
      </c>
      <c r="H63" s="22"/>
    </row>
    <row r="64" spans="1:8" x14ac:dyDescent="0.25">
      <c r="A64" s="106"/>
      <c r="B64" s="115"/>
      <c r="C64" s="14" t="s">
        <v>110</v>
      </c>
      <c r="D64" s="54" t="s">
        <v>29</v>
      </c>
      <c r="E64" s="33">
        <v>1</v>
      </c>
      <c r="F64" s="33">
        <v>1</v>
      </c>
      <c r="G64" s="16">
        <f t="shared" si="17"/>
        <v>1</v>
      </c>
      <c r="H64" s="22"/>
    </row>
    <row r="65" spans="1:8" x14ac:dyDescent="0.25">
      <c r="A65" s="104" t="s">
        <v>46</v>
      </c>
      <c r="B65" s="113">
        <v>42664</v>
      </c>
      <c r="C65" s="14" t="s">
        <v>44</v>
      </c>
      <c r="D65" s="54" t="s">
        <v>29</v>
      </c>
      <c r="E65" s="33">
        <v>1</v>
      </c>
      <c r="F65" s="33">
        <v>1</v>
      </c>
      <c r="G65" s="16">
        <f t="shared" si="17"/>
        <v>1</v>
      </c>
      <c r="H65" s="22"/>
    </row>
    <row r="66" spans="1:8" x14ac:dyDescent="0.25">
      <c r="A66" s="105"/>
      <c r="B66" s="114"/>
      <c r="C66" s="14" t="s">
        <v>32</v>
      </c>
      <c r="D66" s="54" t="s">
        <v>29</v>
      </c>
      <c r="E66" s="33">
        <v>1</v>
      </c>
      <c r="F66" s="33">
        <v>1</v>
      </c>
      <c r="G66" s="16">
        <f t="shared" ref="G66:G72" si="19">F66/E66</f>
        <v>1</v>
      </c>
      <c r="H66" s="22"/>
    </row>
    <row r="67" spans="1:8" x14ac:dyDescent="0.25">
      <c r="A67" s="105"/>
      <c r="B67" s="114"/>
      <c r="C67" s="14" t="s">
        <v>68</v>
      </c>
      <c r="D67" s="54" t="s">
        <v>29</v>
      </c>
      <c r="E67" s="33">
        <v>1</v>
      </c>
      <c r="F67" s="33">
        <v>1</v>
      </c>
      <c r="G67" s="16">
        <f t="shared" si="19"/>
        <v>1</v>
      </c>
      <c r="H67" s="22"/>
    </row>
    <row r="68" spans="1:8" x14ac:dyDescent="0.25">
      <c r="A68" s="105"/>
      <c r="B68" s="114"/>
      <c r="C68" s="63" t="s">
        <v>112</v>
      </c>
      <c r="D68" s="54" t="s">
        <v>29</v>
      </c>
      <c r="E68" s="33">
        <v>1</v>
      </c>
      <c r="F68" s="33">
        <v>1</v>
      </c>
      <c r="G68" s="16">
        <f t="shared" si="19"/>
        <v>1</v>
      </c>
      <c r="H68" s="22"/>
    </row>
    <row r="69" spans="1:8" x14ac:dyDescent="0.25">
      <c r="A69" s="105"/>
      <c r="B69" s="114"/>
      <c r="C69" s="63" t="s">
        <v>111</v>
      </c>
      <c r="D69" s="54" t="s">
        <v>29</v>
      </c>
      <c r="E69" s="33">
        <v>1</v>
      </c>
      <c r="F69" s="33">
        <v>1</v>
      </c>
      <c r="G69" s="16">
        <f t="shared" si="19"/>
        <v>1</v>
      </c>
      <c r="H69" s="22"/>
    </row>
    <row r="70" spans="1:8" x14ac:dyDescent="0.25">
      <c r="A70" s="104" t="s">
        <v>47</v>
      </c>
      <c r="B70" s="113">
        <v>42665</v>
      </c>
      <c r="C70" s="14" t="s">
        <v>44</v>
      </c>
      <c r="D70" s="54" t="s">
        <v>29</v>
      </c>
      <c r="E70" s="33">
        <v>1</v>
      </c>
      <c r="F70" s="33">
        <v>1</v>
      </c>
      <c r="G70" s="16">
        <f t="shared" si="19"/>
        <v>1</v>
      </c>
      <c r="H70" s="22"/>
    </row>
    <row r="71" spans="1:8" x14ac:dyDescent="0.25">
      <c r="A71" s="105"/>
      <c r="B71" s="114"/>
      <c r="C71" s="14" t="s">
        <v>32</v>
      </c>
      <c r="D71" s="54" t="s">
        <v>29</v>
      </c>
      <c r="E71" s="33">
        <v>1</v>
      </c>
      <c r="F71" s="33">
        <v>1</v>
      </c>
      <c r="G71" s="16">
        <f t="shared" si="19"/>
        <v>1</v>
      </c>
      <c r="H71" s="22"/>
    </row>
    <row r="72" spans="1:8" x14ac:dyDescent="0.25">
      <c r="A72" s="105"/>
      <c r="B72" s="114"/>
      <c r="C72" s="14" t="s">
        <v>113</v>
      </c>
      <c r="D72" s="54" t="s">
        <v>29</v>
      </c>
      <c r="E72" s="33">
        <v>1</v>
      </c>
      <c r="F72" s="33">
        <v>1</v>
      </c>
      <c r="G72" s="16">
        <f t="shared" si="19"/>
        <v>1</v>
      </c>
      <c r="H72" s="22"/>
    </row>
    <row r="73" spans="1:8" x14ac:dyDescent="0.25">
      <c r="A73" s="104" t="s">
        <v>53</v>
      </c>
      <c r="B73" s="113">
        <v>42666</v>
      </c>
      <c r="C73" s="14" t="s">
        <v>44</v>
      </c>
      <c r="D73" s="54" t="s">
        <v>29</v>
      </c>
      <c r="E73" s="33">
        <v>1</v>
      </c>
      <c r="F73" s="33">
        <v>1</v>
      </c>
      <c r="G73" s="16">
        <f t="shared" ref="G73:G83" si="20">F73/E73</f>
        <v>1</v>
      </c>
      <c r="H73" s="22"/>
    </row>
    <row r="74" spans="1:8" x14ac:dyDescent="0.25">
      <c r="A74" s="105"/>
      <c r="B74" s="114"/>
      <c r="C74" s="14" t="s">
        <v>32</v>
      </c>
      <c r="D74" s="54" t="s">
        <v>29</v>
      </c>
      <c r="E74" s="33">
        <v>1</v>
      </c>
      <c r="F74" s="33">
        <v>1</v>
      </c>
      <c r="G74" s="16">
        <f t="shared" si="20"/>
        <v>1</v>
      </c>
      <c r="H74" s="22"/>
    </row>
    <row r="75" spans="1:8" x14ac:dyDescent="0.25">
      <c r="A75" s="105"/>
      <c r="B75" s="114"/>
      <c r="C75" s="14" t="s">
        <v>114</v>
      </c>
      <c r="D75" s="54" t="s">
        <v>58</v>
      </c>
      <c r="E75" s="33">
        <v>3</v>
      </c>
      <c r="F75" s="33">
        <v>3</v>
      </c>
      <c r="G75" s="16">
        <f t="shared" si="20"/>
        <v>1</v>
      </c>
      <c r="H75" s="22"/>
    </row>
    <row r="76" spans="1:8" x14ac:dyDescent="0.25">
      <c r="A76" s="104" t="s">
        <v>54</v>
      </c>
      <c r="B76" s="113">
        <v>42667</v>
      </c>
      <c r="C76" s="14" t="s">
        <v>44</v>
      </c>
      <c r="D76" s="54" t="s">
        <v>29</v>
      </c>
      <c r="E76" s="33">
        <v>1</v>
      </c>
      <c r="F76" s="33">
        <v>1</v>
      </c>
      <c r="G76" s="16">
        <f t="shared" si="20"/>
        <v>1</v>
      </c>
      <c r="H76" s="22"/>
    </row>
    <row r="77" spans="1:8" x14ac:dyDescent="0.25">
      <c r="A77" s="105"/>
      <c r="B77" s="114"/>
      <c r="C77" s="14" t="s">
        <v>32</v>
      </c>
      <c r="D77" s="54" t="s">
        <v>29</v>
      </c>
      <c r="E77" s="33">
        <v>1</v>
      </c>
      <c r="F77" s="33">
        <v>1</v>
      </c>
      <c r="G77" s="16">
        <f t="shared" si="20"/>
        <v>1</v>
      </c>
      <c r="H77" s="22"/>
    </row>
    <row r="78" spans="1:8" x14ac:dyDescent="0.25">
      <c r="A78" s="105"/>
      <c r="B78" s="114"/>
      <c r="C78" s="14" t="s">
        <v>72</v>
      </c>
      <c r="D78" s="54" t="s">
        <v>29</v>
      </c>
      <c r="E78" s="33">
        <v>1</v>
      </c>
      <c r="F78" s="33">
        <v>1</v>
      </c>
      <c r="G78" s="16">
        <f t="shared" ref="G78" si="21">F78/E78</f>
        <v>1</v>
      </c>
      <c r="H78" s="22"/>
    </row>
    <row r="79" spans="1:8" x14ac:dyDescent="0.25">
      <c r="A79" s="106"/>
      <c r="B79" s="115"/>
      <c r="C79" s="14" t="s">
        <v>71</v>
      </c>
      <c r="D79" s="54" t="s">
        <v>29</v>
      </c>
      <c r="E79" s="33">
        <v>1</v>
      </c>
      <c r="F79" s="33">
        <v>1</v>
      </c>
      <c r="G79" s="16">
        <f t="shared" si="20"/>
        <v>1</v>
      </c>
      <c r="H79" s="22"/>
    </row>
    <row r="80" spans="1:8" x14ac:dyDescent="0.25">
      <c r="A80" s="104" t="s">
        <v>45</v>
      </c>
      <c r="B80" s="113">
        <v>42668</v>
      </c>
      <c r="C80" s="14" t="s">
        <v>44</v>
      </c>
      <c r="D80" s="54" t="s">
        <v>29</v>
      </c>
      <c r="E80" s="33">
        <v>1</v>
      </c>
      <c r="F80" s="33">
        <v>1</v>
      </c>
      <c r="G80" s="16">
        <f t="shared" si="20"/>
        <v>1</v>
      </c>
      <c r="H80" s="22"/>
    </row>
    <row r="81" spans="1:8" x14ac:dyDescent="0.25">
      <c r="A81" s="105"/>
      <c r="B81" s="114"/>
      <c r="C81" s="14" t="s">
        <v>32</v>
      </c>
      <c r="D81" s="54" t="s">
        <v>29</v>
      </c>
      <c r="E81" s="33">
        <v>1</v>
      </c>
      <c r="F81" s="33">
        <v>1</v>
      </c>
      <c r="G81" s="16">
        <f t="shared" si="20"/>
        <v>1</v>
      </c>
      <c r="H81" s="22"/>
    </row>
    <row r="82" spans="1:8" x14ac:dyDescent="0.25">
      <c r="A82" s="106"/>
      <c r="B82" s="115"/>
      <c r="C82" s="14" t="s">
        <v>109</v>
      </c>
      <c r="D82" s="54" t="s">
        <v>29</v>
      </c>
      <c r="E82" s="33">
        <v>2</v>
      </c>
      <c r="F82" s="33">
        <v>2</v>
      </c>
      <c r="G82" s="16">
        <f t="shared" si="20"/>
        <v>1</v>
      </c>
      <c r="H82" s="22"/>
    </row>
    <row r="83" spans="1:8" x14ac:dyDescent="0.25">
      <c r="A83" s="63" t="s">
        <v>46</v>
      </c>
      <c r="B83" s="80">
        <v>42671</v>
      </c>
      <c r="C83" s="96" t="s">
        <v>115</v>
      </c>
      <c r="D83" s="97" t="s">
        <v>29</v>
      </c>
      <c r="E83" s="98">
        <v>1</v>
      </c>
      <c r="F83" s="98">
        <v>1</v>
      </c>
      <c r="G83" s="99">
        <f t="shared" si="20"/>
        <v>1</v>
      </c>
      <c r="H83" s="100"/>
    </row>
    <row r="84" spans="1:8" x14ac:dyDescent="0.25">
      <c r="A84" s="63" t="s">
        <v>47</v>
      </c>
      <c r="B84" s="80">
        <v>42672</v>
      </c>
      <c r="C84" s="96"/>
      <c r="D84" s="97"/>
      <c r="E84" s="98"/>
      <c r="F84" s="98"/>
      <c r="G84" s="99"/>
      <c r="H84" s="100"/>
    </row>
    <row r="85" spans="1:8" x14ac:dyDescent="0.25">
      <c r="A85" s="63" t="s">
        <v>53</v>
      </c>
      <c r="B85" s="80">
        <v>42673</v>
      </c>
      <c r="C85" s="96"/>
      <c r="D85" s="97"/>
      <c r="E85" s="98"/>
      <c r="F85" s="98"/>
      <c r="G85" s="99"/>
      <c r="H85" s="100"/>
    </row>
    <row r="86" spans="1:8" x14ac:dyDescent="0.25">
      <c r="A86" s="34"/>
      <c r="B86" s="27"/>
      <c r="C86" s="29"/>
      <c r="D86" s="27"/>
      <c r="E86" s="28"/>
      <c r="F86" s="28"/>
      <c r="G86" s="30"/>
      <c r="H86" s="27"/>
    </row>
    <row r="87" spans="1:8" x14ac:dyDescent="0.25">
      <c r="A87" s="34"/>
      <c r="B87" s="55" t="s">
        <v>15</v>
      </c>
      <c r="C87" s="27"/>
      <c r="D87" s="27"/>
      <c r="E87" s="27"/>
      <c r="F87" s="27"/>
      <c r="G87" s="27"/>
      <c r="H87" s="12"/>
    </row>
    <row r="88" spans="1:8" x14ac:dyDescent="0.25">
      <c r="A88" s="34"/>
      <c r="B88" s="56" t="s">
        <v>86</v>
      </c>
      <c r="C88" s="55"/>
      <c r="D88" s="12"/>
      <c r="E88" s="53"/>
      <c r="F88" s="7"/>
      <c r="G88" s="50"/>
      <c r="H88" s="12"/>
    </row>
    <row r="89" spans="1:8" x14ac:dyDescent="0.25">
      <c r="A89" s="34"/>
      <c r="B89" s="19"/>
      <c r="C89" s="56"/>
      <c r="D89" s="12"/>
      <c r="E89" s="53"/>
      <c r="F89" s="7"/>
      <c r="G89" s="50"/>
      <c r="H89" s="12"/>
    </row>
    <row r="90" spans="1:8" x14ac:dyDescent="0.25">
      <c r="A90" s="34"/>
      <c r="B90" s="18"/>
      <c r="C90" s="12"/>
      <c r="D90" s="12"/>
      <c r="E90" s="53"/>
      <c r="F90" s="7"/>
      <c r="G90" s="50"/>
    </row>
    <row r="91" spans="1:8" x14ac:dyDescent="0.25">
      <c r="A91" s="34"/>
      <c r="B91" s="38" t="s">
        <v>16</v>
      </c>
      <c r="C91" s="38"/>
      <c r="D91" s="38"/>
      <c r="H91" s="37"/>
    </row>
    <row r="92" spans="1:8" x14ac:dyDescent="0.25">
      <c r="A92" s="34"/>
      <c r="B92" s="51" t="s">
        <v>39</v>
      </c>
      <c r="C92" s="51"/>
      <c r="F92" s="83" t="s">
        <v>41</v>
      </c>
      <c r="G92" s="83"/>
      <c r="H92" s="83"/>
    </row>
    <row r="93" spans="1:8" x14ac:dyDescent="0.25">
      <c r="A93" s="34"/>
      <c r="B93" s="51"/>
      <c r="C93" s="51"/>
      <c r="E93" s="38"/>
      <c r="F93" s="83" t="s">
        <v>42</v>
      </c>
      <c r="G93" s="83"/>
      <c r="H93" s="83"/>
    </row>
    <row r="94" spans="1:8" x14ac:dyDescent="0.25">
      <c r="A94" s="34"/>
      <c r="B94" s="19"/>
      <c r="C94" s="51"/>
      <c r="D94" s="38"/>
      <c r="E94" s="38"/>
      <c r="F94" s="50"/>
      <c r="G94" s="50"/>
      <c r="H94" s="12"/>
    </row>
    <row r="95" spans="1:8" x14ac:dyDescent="0.25">
      <c r="A95" s="34"/>
      <c r="B95" s="18"/>
      <c r="C95" s="12"/>
      <c r="D95" s="12"/>
      <c r="E95" s="53"/>
      <c r="F95" s="7"/>
      <c r="G95" s="50"/>
      <c r="H95" s="49"/>
    </row>
    <row r="96" spans="1:8" x14ac:dyDescent="0.25">
      <c r="A96" s="34"/>
      <c r="B96" s="39" t="s">
        <v>36</v>
      </c>
      <c r="C96" s="52"/>
      <c r="D96" s="52"/>
      <c r="E96" s="52"/>
      <c r="F96" s="49"/>
      <c r="G96" s="49" t="s">
        <v>43</v>
      </c>
      <c r="H96" s="50"/>
    </row>
    <row r="97" spans="1:7" x14ac:dyDescent="0.25">
      <c r="A97" s="34"/>
      <c r="B97" s="12" t="s">
        <v>37</v>
      </c>
      <c r="C97" s="53"/>
      <c r="D97" s="53"/>
      <c r="E97" s="53"/>
      <c r="F97" s="50"/>
      <c r="G97" s="50" t="s">
        <v>38</v>
      </c>
    </row>
  </sheetData>
  <mergeCells count="58">
    <mergeCell ref="A80:A82"/>
    <mergeCell ref="B80:B82"/>
    <mergeCell ref="B57:B60"/>
    <mergeCell ref="A57:A60"/>
    <mergeCell ref="A1:H1"/>
    <mergeCell ref="A8:B9"/>
    <mergeCell ref="A10:B10"/>
    <mergeCell ref="C8:C9"/>
    <mergeCell ref="E8:E9"/>
    <mergeCell ref="D8:D9"/>
    <mergeCell ref="F8:G8"/>
    <mergeCell ref="H8:H9"/>
    <mergeCell ref="A2:H2"/>
    <mergeCell ref="D3:H7"/>
    <mergeCell ref="A3:A7"/>
    <mergeCell ref="B7:C7"/>
    <mergeCell ref="F92:H92"/>
    <mergeCell ref="F93:H93"/>
    <mergeCell ref="A36:A39"/>
    <mergeCell ref="B36:B39"/>
    <mergeCell ref="A61:A64"/>
    <mergeCell ref="B61:B64"/>
    <mergeCell ref="A65:A69"/>
    <mergeCell ref="B65:B69"/>
    <mergeCell ref="A70:A72"/>
    <mergeCell ref="B70:B72"/>
    <mergeCell ref="A46:A49"/>
    <mergeCell ref="B46:B49"/>
    <mergeCell ref="A73:A75"/>
    <mergeCell ref="B73:B75"/>
    <mergeCell ref="A76:A79"/>
    <mergeCell ref="B76:B79"/>
    <mergeCell ref="A50:A53"/>
    <mergeCell ref="B50:B53"/>
    <mergeCell ref="B11:B17"/>
    <mergeCell ref="A11:A17"/>
    <mergeCell ref="A31:A35"/>
    <mergeCell ref="B31:B35"/>
    <mergeCell ref="A40:A45"/>
    <mergeCell ref="B40:B45"/>
    <mergeCell ref="A24:A27"/>
    <mergeCell ref="B24:B27"/>
    <mergeCell ref="A28:A30"/>
    <mergeCell ref="B28:B30"/>
    <mergeCell ref="B18:B23"/>
    <mergeCell ref="A18:A23"/>
    <mergeCell ref="H54:H56"/>
    <mergeCell ref="C83:C85"/>
    <mergeCell ref="D83:D85"/>
    <mergeCell ref="E83:E85"/>
    <mergeCell ref="F83:F85"/>
    <mergeCell ref="G83:G85"/>
    <mergeCell ref="H83:H85"/>
    <mergeCell ref="C54:C56"/>
    <mergeCell ref="D54:D56"/>
    <mergeCell ref="E54:E56"/>
    <mergeCell ref="F54:F56"/>
    <mergeCell ref="G54:G56"/>
  </mergeCells>
  <printOptions horizontalCentered="1"/>
  <pageMargins left="0.36" right="0.3" top="0.75" bottom="0.75" header="0.3" footer="0.3"/>
  <pageSetup paperSize="9" scale="76" fitToHeight="0" orientation="portrait" r:id="rId1"/>
  <rowBreaks count="1" manualBreakCount="1">
    <brk id="53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view="pageBreakPreview" topLeftCell="A19" zoomScale="80" zoomScaleNormal="80" zoomScaleSheetLayoutView="80" workbookViewId="0">
      <selection activeCell="A20" sqref="A20:A22"/>
    </sheetView>
  </sheetViews>
  <sheetFormatPr defaultRowHeight="15" x14ac:dyDescent="0.25"/>
  <cols>
    <col min="1" max="1" width="4.7109375" customWidth="1"/>
    <col min="2" max="2" width="20.42578125" customWidth="1"/>
    <col min="3" max="3" width="46.7109375" customWidth="1"/>
    <col min="4" max="4" width="48.5703125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17"/>
    <col min="15" max="15" width="18.5703125" style="17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A2" s="148"/>
      <c r="B2" s="148"/>
      <c r="C2" s="148"/>
      <c r="D2" s="148"/>
      <c r="E2" s="148"/>
      <c r="F2" s="148"/>
      <c r="G2" s="150"/>
      <c r="H2" s="86" t="s">
        <v>18</v>
      </c>
      <c r="I2" s="87"/>
      <c r="J2" s="151"/>
      <c r="K2" s="148"/>
    </row>
    <row r="3" spans="1:25" ht="18.75" x14ac:dyDescent="0.3">
      <c r="A3" s="88" t="s">
        <v>49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25" ht="18.75" x14ac:dyDescent="0.3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</row>
    <row r="5" spans="1:25" x14ac:dyDescent="0.25">
      <c r="A5" s="133" t="s">
        <v>1</v>
      </c>
      <c r="B5" s="133"/>
      <c r="C5" t="s">
        <v>2</v>
      </c>
      <c r="D5" s="148"/>
      <c r="E5" s="148"/>
      <c r="F5" s="148"/>
      <c r="G5" s="148"/>
      <c r="H5" s="148"/>
      <c r="I5" s="148"/>
      <c r="J5" s="148"/>
      <c r="K5" s="148"/>
    </row>
    <row r="6" spans="1:25" x14ac:dyDescent="0.25">
      <c r="A6" s="133" t="s">
        <v>3</v>
      </c>
      <c r="B6" s="133"/>
      <c r="C6" s="8" t="s">
        <v>33</v>
      </c>
      <c r="D6" s="148"/>
      <c r="E6" s="148"/>
      <c r="F6" s="148"/>
      <c r="G6" s="148"/>
      <c r="H6" s="148"/>
      <c r="I6" s="148"/>
      <c r="J6" s="148"/>
      <c r="K6" s="148"/>
    </row>
    <row r="7" spans="1:25" x14ac:dyDescent="0.25">
      <c r="A7" s="133" t="s">
        <v>4</v>
      </c>
      <c r="B7" s="133"/>
      <c r="C7" s="8" t="s">
        <v>34</v>
      </c>
      <c r="D7" s="148"/>
      <c r="E7" s="148"/>
      <c r="F7" s="148"/>
      <c r="G7" s="148"/>
      <c r="H7" s="148"/>
      <c r="I7" s="148"/>
      <c r="J7" s="148"/>
      <c r="K7" s="148"/>
    </row>
    <row r="8" spans="1:25" x14ac:dyDescent="0.25">
      <c r="A8" s="133" t="s">
        <v>5</v>
      </c>
      <c r="B8" s="133"/>
      <c r="C8" t="s">
        <v>80</v>
      </c>
      <c r="D8" s="148"/>
      <c r="E8" s="148"/>
      <c r="F8" s="148"/>
      <c r="G8" s="148"/>
      <c r="H8" s="148"/>
      <c r="I8" s="148"/>
      <c r="J8" s="148"/>
      <c r="K8" s="148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5" ht="15.75" customHeight="1" thickBot="1" x14ac:dyDescent="0.3">
      <c r="A9" s="83"/>
      <c r="B9" s="83"/>
      <c r="C9" s="83"/>
      <c r="D9" s="83"/>
      <c r="E9" s="83"/>
      <c r="F9" s="83"/>
      <c r="G9" s="83"/>
      <c r="H9" s="83"/>
      <c r="I9" s="149"/>
      <c r="J9" s="149"/>
      <c r="K9" s="149"/>
      <c r="L9" s="20"/>
      <c r="M9" s="24"/>
      <c r="N9" s="24"/>
      <c r="O9" s="24"/>
      <c r="P9" s="24"/>
      <c r="Q9" s="32"/>
      <c r="R9" s="32"/>
      <c r="S9" s="32"/>
      <c r="T9" s="32"/>
      <c r="U9" s="32"/>
      <c r="V9" s="32"/>
      <c r="W9" s="32"/>
      <c r="X9" s="32"/>
      <c r="Y9" s="32"/>
    </row>
    <row r="10" spans="1:25" ht="15" customHeight="1" x14ac:dyDescent="0.25">
      <c r="A10" s="89" t="s">
        <v>6</v>
      </c>
      <c r="B10" s="89" t="s">
        <v>7</v>
      </c>
      <c r="C10" s="89"/>
      <c r="D10" s="146" t="s">
        <v>26</v>
      </c>
      <c r="E10" s="146" t="s">
        <v>9</v>
      </c>
      <c r="F10" s="146"/>
      <c r="G10" s="146"/>
      <c r="H10" s="147" t="s">
        <v>10</v>
      </c>
      <c r="I10" s="138" t="s">
        <v>30</v>
      </c>
      <c r="J10" s="140" t="s">
        <v>31</v>
      </c>
      <c r="K10" s="136" t="s">
        <v>11</v>
      </c>
      <c r="L10" s="21"/>
      <c r="M10" s="24"/>
      <c r="N10" s="24"/>
      <c r="O10" s="24"/>
      <c r="P10" s="24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31.5" customHeight="1" x14ac:dyDescent="0.25">
      <c r="A11" s="89"/>
      <c r="B11" s="89"/>
      <c r="C11" s="89"/>
      <c r="D11" s="146"/>
      <c r="E11" s="66" t="s">
        <v>12</v>
      </c>
      <c r="F11" s="66" t="s">
        <v>13</v>
      </c>
      <c r="G11" s="66" t="s">
        <v>14</v>
      </c>
      <c r="H11" s="147"/>
      <c r="I11" s="139"/>
      <c r="J11" s="141"/>
      <c r="K11" s="137"/>
      <c r="L11" s="21"/>
      <c r="M11" s="24"/>
      <c r="N11" s="24"/>
      <c r="O11" s="24"/>
      <c r="P11" s="24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5" customHeight="1" x14ac:dyDescent="0.25">
      <c r="A12" s="64">
        <v>-1</v>
      </c>
      <c r="B12" s="92">
        <f>A12-1</f>
        <v>-2</v>
      </c>
      <c r="C12" s="92"/>
      <c r="D12" s="64">
        <f>B12-1</f>
        <v>-3</v>
      </c>
      <c r="E12" s="64">
        <f t="shared" ref="E12:K12" si="0">D12-1</f>
        <v>-4</v>
      </c>
      <c r="F12" s="64">
        <f t="shared" si="0"/>
        <v>-5</v>
      </c>
      <c r="G12" s="64">
        <f t="shared" si="0"/>
        <v>-6</v>
      </c>
      <c r="H12" s="64">
        <f t="shared" si="0"/>
        <v>-7</v>
      </c>
      <c r="I12" s="74">
        <f t="shared" si="0"/>
        <v>-8</v>
      </c>
      <c r="J12" s="2">
        <f t="shared" si="0"/>
        <v>-9</v>
      </c>
      <c r="K12" s="25">
        <f t="shared" si="0"/>
        <v>-10</v>
      </c>
      <c r="L12" s="21"/>
      <c r="M12" s="24"/>
      <c r="N12" s="24"/>
      <c r="O12" s="24"/>
      <c r="P12" s="24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5" customHeight="1" x14ac:dyDescent="0.25">
      <c r="A13" s="152" t="s">
        <v>75</v>
      </c>
      <c r="B13" s="152"/>
      <c r="C13" s="152"/>
      <c r="D13" s="152"/>
      <c r="E13" s="64"/>
      <c r="F13" s="64"/>
      <c r="G13" s="64"/>
      <c r="H13" s="64"/>
      <c r="I13" s="74"/>
      <c r="J13" s="62"/>
      <c r="K13" s="25"/>
      <c r="L13" s="21"/>
      <c r="M13" s="24"/>
      <c r="N13" s="24"/>
      <c r="O13" s="24"/>
      <c r="P13" s="24"/>
      <c r="Q13" s="32"/>
      <c r="R13" s="32"/>
      <c r="S13" s="32"/>
      <c r="T13" s="32"/>
      <c r="U13" s="32"/>
      <c r="V13" s="32"/>
      <c r="W13" s="32"/>
      <c r="X13" s="32"/>
      <c r="Y13" s="32"/>
    </row>
    <row r="14" spans="1:25" x14ac:dyDescent="0.25">
      <c r="A14" s="65">
        <v>1</v>
      </c>
      <c r="B14" s="91" t="s">
        <v>50</v>
      </c>
      <c r="C14" s="91"/>
      <c r="D14" s="47" t="s">
        <v>35</v>
      </c>
      <c r="E14" s="65">
        <v>1</v>
      </c>
      <c r="F14" s="65">
        <v>1</v>
      </c>
      <c r="G14" s="47">
        <f>F14/E14*100</f>
        <v>100</v>
      </c>
      <c r="H14" s="47">
        <v>100</v>
      </c>
      <c r="I14" s="75"/>
      <c r="J14" s="26">
        <f t="shared" ref="J14:J15" si="1">0.01*F14</f>
        <v>0.01</v>
      </c>
      <c r="K14" s="36"/>
      <c r="L14" s="21"/>
      <c r="M14" s="24"/>
      <c r="N14" s="24"/>
      <c r="O14" s="24"/>
      <c r="P14" s="24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5" customHeight="1" x14ac:dyDescent="0.25">
      <c r="A15" s="65">
        <v>2</v>
      </c>
      <c r="B15" s="91" t="s">
        <v>60</v>
      </c>
      <c r="C15" s="91"/>
      <c r="D15" s="47" t="s">
        <v>35</v>
      </c>
      <c r="E15" s="65">
        <v>1</v>
      </c>
      <c r="F15" s="65">
        <v>1</v>
      </c>
      <c r="G15" s="47">
        <f t="shared" ref="G15:G22" si="2">F15/E15*100</f>
        <v>100</v>
      </c>
      <c r="H15" s="47">
        <v>100</v>
      </c>
      <c r="I15" s="75"/>
      <c r="J15" s="26">
        <f t="shared" si="1"/>
        <v>0.01</v>
      </c>
      <c r="K15" s="36"/>
      <c r="L15" s="21"/>
      <c r="M15" s="24"/>
      <c r="N15" s="24"/>
      <c r="O15" s="24"/>
      <c r="P15" s="24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29.25" customHeight="1" x14ac:dyDescent="0.25">
      <c r="A16" s="65">
        <v>3</v>
      </c>
      <c r="B16" s="91" t="s">
        <v>116</v>
      </c>
      <c r="C16" s="91"/>
      <c r="D16" s="47" t="s">
        <v>77</v>
      </c>
      <c r="E16" s="65">
        <v>1</v>
      </c>
      <c r="F16" s="65">
        <v>1</v>
      </c>
      <c r="G16" s="47">
        <f t="shared" si="2"/>
        <v>100</v>
      </c>
      <c r="H16" s="47">
        <v>100</v>
      </c>
      <c r="I16" s="75"/>
      <c r="J16" s="26">
        <f>0.36*F16</f>
        <v>0.36</v>
      </c>
      <c r="K16" s="36"/>
      <c r="L16" s="21"/>
      <c r="M16" s="24"/>
      <c r="N16" s="24"/>
      <c r="O16" s="24"/>
      <c r="P16" s="24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5" customHeight="1" x14ac:dyDescent="0.25">
      <c r="A17" s="65">
        <v>4</v>
      </c>
      <c r="B17" s="91" t="s">
        <v>78</v>
      </c>
      <c r="C17" s="91"/>
      <c r="D17" s="47" t="s">
        <v>35</v>
      </c>
      <c r="E17" s="65">
        <v>1</v>
      </c>
      <c r="F17" s="65">
        <v>1</v>
      </c>
      <c r="G17" s="47">
        <f t="shared" si="2"/>
        <v>100</v>
      </c>
      <c r="H17" s="47">
        <v>100</v>
      </c>
      <c r="I17" s="75"/>
      <c r="J17" s="26">
        <f>0.01*F17</f>
        <v>0.01</v>
      </c>
      <c r="K17" s="36"/>
      <c r="L17" s="21"/>
      <c r="M17" s="24"/>
      <c r="N17" s="24"/>
      <c r="O17" s="24"/>
      <c r="P17" s="24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5" customHeight="1" x14ac:dyDescent="0.25">
      <c r="A18" s="65">
        <v>5</v>
      </c>
      <c r="B18" s="91" t="s">
        <v>73</v>
      </c>
      <c r="C18" s="91"/>
      <c r="D18" s="47" t="s">
        <v>35</v>
      </c>
      <c r="E18" s="65">
        <v>1</v>
      </c>
      <c r="F18" s="65">
        <v>1</v>
      </c>
      <c r="G18" s="47">
        <f t="shared" ref="G18" si="3">F18/E18*100</f>
        <v>100</v>
      </c>
      <c r="H18" s="47">
        <v>100</v>
      </c>
      <c r="I18" s="75"/>
      <c r="J18" s="26">
        <f>0.01*F18</f>
        <v>0.01</v>
      </c>
      <c r="K18" s="36"/>
      <c r="L18" s="21"/>
      <c r="M18" s="24"/>
      <c r="N18" s="24"/>
      <c r="O18" s="24"/>
      <c r="P18" s="24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5" customHeight="1" x14ac:dyDescent="0.25">
      <c r="A19" s="65">
        <v>6</v>
      </c>
      <c r="B19" s="91" t="s">
        <v>119</v>
      </c>
      <c r="C19" s="91"/>
      <c r="D19" s="47" t="s">
        <v>35</v>
      </c>
      <c r="E19" s="65">
        <v>1</v>
      </c>
      <c r="F19" s="65">
        <v>1</v>
      </c>
      <c r="G19" s="47">
        <f t="shared" ref="G19:G21" si="4">F19/E19*100</f>
        <v>100</v>
      </c>
      <c r="H19" s="47">
        <v>100</v>
      </c>
      <c r="I19" s="75"/>
      <c r="J19" s="26">
        <f t="shared" ref="J19" si="5">0.01*F19</f>
        <v>0.01</v>
      </c>
      <c r="K19" s="36"/>
      <c r="L19" s="21"/>
      <c r="M19" s="24"/>
      <c r="N19" s="24"/>
      <c r="O19" s="24"/>
      <c r="P19" s="24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5" customHeight="1" x14ac:dyDescent="0.25">
      <c r="A20" s="67">
        <v>7</v>
      </c>
      <c r="B20" s="144" t="s">
        <v>117</v>
      </c>
      <c r="C20" s="145"/>
      <c r="D20" s="47" t="s">
        <v>118</v>
      </c>
      <c r="E20" s="67">
        <v>1</v>
      </c>
      <c r="F20" s="67">
        <v>1</v>
      </c>
      <c r="G20" s="47">
        <f t="shared" si="4"/>
        <v>100</v>
      </c>
      <c r="H20" s="47">
        <v>100</v>
      </c>
      <c r="I20" s="75"/>
      <c r="J20" s="26">
        <v>0.36</v>
      </c>
      <c r="K20" s="36"/>
      <c r="L20" s="21"/>
      <c r="M20" s="24"/>
      <c r="N20" s="24"/>
      <c r="O20" s="24"/>
      <c r="P20" s="24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5" customHeight="1" x14ac:dyDescent="0.25">
      <c r="A21" s="67">
        <v>8</v>
      </c>
      <c r="B21" s="144" t="s">
        <v>122</v>
      </c>
      <c r="C21" s="145"/>
      <c r="D21" s="47" t="s">
        <v>123</v>
      </c>
      <c r="E21" s="67">
        <v>563</v>
      </c>
      <c r="F21" s="67">
        <v>563</v>
      </c>
      <c r="G21" s="47">
        <f t="shared" si="4"/>
        <v>100</v>
      </c>
      <c r="H21" s="47">
        <v>100</v>
      </c>
      <c r="I21" s="75"/>
      <c r="J21" s="26">
        <f>0.01*F21</f>
        <v>5.63</v>
      </c>
      <c r="K21" s="36"/>
      <c r="L21" s="21"/>
      <c r="M21" s="24"/>
      <c r="N21" s="24"/>
      <c r="O21" s="24"/>
      <c r="P21" s="24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5" customHeight="1" x14ac:dyDescent="0.25">
      <c r="A22" s="79">
        <v>9</v>
      </c>
      <c r="B22" s="144" t="s">
        <v>61</v>
      </c>
      <c r="C22" s="145"/>
      <c r="D22" s="47" t="s">
        <v>35</v>
      </c>
      <c r="E22" s="65">
        <v>1</v>
      </c>
      <c r="F22" s="65">
        <v>1</v>
      </c>
      <c r="G22" s="47">
        <f t="shared" si="2"/>
        <v>100</v>
      </c>
      <c r="H22" s="47">
        <v>100</v>
      </c>
      <c r="I22" s="75"/>
      <c r="J22" s="26">
        <f>0.01*F22</f>
        <v>0.01</v>
      </c>
      <c r="K22" s="36"/>
      <c r="L22" s="21"/>
      <c r="M22" s="24"/>
      <c r="N22" s="24"/>
      <c r="O22" s="24"/>
      <c r="P22" s="24"/>
      <c r="Q22" s="32"/>
      <c r="R22" s="32"/>
      <c r="S22" s="32"/>
      <c r="T22" s="32"/>
      <c r="U22" s="32"/>
      <c r="V22" s="32"/>
      <c r="W22" s="32"/>
      <c r="X22" s="32"/>
      <c r="Y22" s="32"/>
    </row>
    <row r="23" spans="1:25" x14ac:dyDescent="0.25">
      <c r="A23" s="152" t="s">
        <v>76</v>
      </c>
      <c r="B23" s="152"/>
      <c r="C23" s="152"/>
      <c r="D23" s="152"/>
      <c r="E23" s="152"/>
      <c r="F23" s="152"/>
      <c r="G23" s="152"/>
      <c r="H23" s="152"/>
      <c r="I23" s="76"/>
      <c r="J23" s="70">
        <f>SUM(J14:J22)</f>
        <v>6.41</v>
      </c>
      <c r="K23" s="131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5" x14ac:dyDescent="0.25">
      <c r="A24" s="15">
        <v>1</v>
      </c>
      <c r="B24" s="91" t="s">
        <v>81</v>
      </c>
      <c r="C24" s="91"/>
      <c r="D24" s="47" t="s">
        <v>35</v>
      </c>
      <c r="E24" s="15">
        <v>1</v>
      </c>
      <c r="F24" s="15">
        <v>1</v>
      </c>
      <c r="G24" s="15">
        <v>100</v>
      </c>
      <c r="H24" s="72"/>
      <c r="I24" s="75"/>
      <c r="J24" s="26"/>
      <c r="K24" s="131"/>
      <c r="L24" s="31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5" x14ac:dyDescent="0.25">
      <c r="A25" s="15">
        <v>2</v>
      </c>
      <c r="B25" s="91" t="s">
        <v>82</v>
      </c>
      <c r="C25" s="91"/>
      <c r="D25" s="47" t="s">
        <v>35</v>
      </c>
      <c r="E25" s="15">
        <v>3</v>
      </c>
      <c r="F25" s="15">
        <v>3</v>
      </c>
      <c r="G25" s="15">
        <v>100</v>
      </c>
      <c r="H25" s="72"/>
      <c r="I25" s="73"/>
      <c r="J25" s="71"/>
      <c r="K25" s="131"/>
      <c r="L25" s="31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5" x14ac:dyDescent="0.25">
      <c r="A26" s="15">
        <v>3</v>
      </c>
      <c r="B26" s="91" t="s">
        <v>120</v>
      </c>
      <c r="C26" s="91"/>
      <c r="D26" s="47" t="s">
        <v>35</v>
      </c>
      <c r="E26" s="15">
        <v>1</v>
      </c>
      <c r="F26" s="15">
        <v>1</v>
      </c>
      <c r="G26" s="15">
        <v>100</v>
      </c>
      <c r="H26" s="72"/>
      <c r="I26" s="73"/>
      <c r="J26" s="71"/>
      <c r="K26" s="131"/>
      <c r="L26" s="31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5" x14ac:dyDescent="0.25">
      <c r="A27" s="15">
        <v>4</v>
      </c>
      <c r="B27" s="91" t="s">
        <v>83</v>
      </c>
      <c r="C27" s="91"/>
      <c r="D27" s="47" t="s">
        <v>35</v>
      </c>
      <c r="E27" s="15">
        <v>1</v>
      </c>
      <c r="F27" s="15">
        <v>1</v>
      </c>
      <c r="G27" s="15">
        <v>100</v>
      </c>
      <c r="H27" s="72"/>
      <c r="I27" s="73"/>
      <c r="J27" s="71"/>
      <c r="K27" s="131"/>
      <c r="L27" s="3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5" x14ac:dyDescent="0.25">
      <c r="A28" s="15">
        <v>5</v>
      </c>
      <c r="B28" s="91" t="s">
        <v>66</v>
      </c>
      <c r="C28" s="91"/>
      <c r="D28" s="47" t="s">
        <v>35</v>
      </c>
      <c r="E28" s="15">
        <v>1</v>
      </c>
      <c r="F28" s="15">
        <v>1</v>
      </c>
      <c r="G28" s="15">
        <v>100</v>
      </c>
      <c r="H28" s="72"/>
      <c r="I28" s="73"/>
      <c r="J28" s="71"/>
      <c r="K28" s="131"/>
      <c r="L28" s="31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5" x14ac:dyDescent="0.25">
      <c r="A29" s="15">
        <v>6</v>
      </c>
      <c r="B29" s="91" t="s">
        <v>121</v>
      </c>
      <c r="C29" s="91"/>
      <c r="D29" s="47" t="s">
        <v>35</v>
      </c>
      <c r="E29" s="15">
        <v>1</v>
      </c>
      <c r="F29" s="15">
        <v>1</v>
      </c>
      <c r="G29" s="15">
        <v>100</v>
      </c>
      <c r="H29" s="72"/>
      <c r="I29" s="73"/>
      <c r="J29" s="71"/>
      <c r="K29" s="131"/>
      <c r="L29" s="31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5" x14ac:dyDescent="0.25">
      <c r="A30" s="15">
        <v>7</v>
      </c>
      <c r="B30" s="91" t="s">
        <v>67</v>
      </c>
      <c r="C30" s="91"/>
      <c r="D30" s="47" t="s">
        <v>35</v>
      </c>
      <c r="E30" s="15">
        <v>1</v>
      </c>
      <c r="F30" s="15">
        <v>1</v>
      </c>
      <c r="G30" s="15">
        <v>100</v>
      </c>
      <c r="H30" s="72"/>
      <c r="I30" s="73"/>
      <c r="J30" s="71"/>
      <c r="K30" s="131"/>
      <c r="L30" s="31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5" ht="15" customHeight="1" x14ac:dyDescent="0.25">
      <c r="A31" s="15">
        <v>8</v>
      </c>
      <c r="B31" s="91" t="s">
        <v>79</v>
      </c>
      <c r="C31" s="91"/>
      <c r="D31" s="47" t="s">
        <v>35</v>
      </c>
      <c r="E31" s="15">
        <v>1</v>
      </c>
      <c r="F31" s="15">
        <v>1</v>
      </c>
      <c r="G31" s="15">
        <v>100</v>
      </c>
      <c r="H31" s="47"/>
      <c r="I31" s="73"/>
      <c r="J31" s="71"/>
      <c r="K31" s="131"/>
      <c r="L31" s="21"/>
      <c r="M31" s="24"/>
      <c r="N31" s="24"/>
      <c r="O31" s="24"/>
      <c r="P31" s="24"/>
      <c r="Q31" s="32"/>
      <c r="R31" s="32"/>
      <c r="S31" s="32"/>
      <c r="T31" s="32"/>
      <c r="U31" s="32"/>
      <c r="V31" s="32"/>
      <c r="W31" s="32"/>
      <c r="X31" s="32"/>
      <c r="Y31" s="32"/>
    </row>
    <row r="32" spans="1:25" x14ac:dyDescent="0.25">
      <c r="A32" s="134" t="s">
        <v>19</v>
      </c>
      <c r="B32" s="134"/>
      <c r="C32" s="134"/>
      <c r="D32" s="134"/>
      <c r="E32" s="134"/>
      <c r="F32" s="134"/>
      <c r="G32" s="78">
        <f>AVERAGE(G14:G22)</f>
        <v>100</v>
      </c>
      <c r="H32" s="78">
        <f>AVERAGE(H14:H22)</f>
        <v>100</v>
      </c>
      <c r="I32" s="75"/>
      <c r="J32" s="142"/>
      <c r="K32" s="131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.75" thickBot="1" x14ac:dyDescent="0.3">
      <c r="A33" s="134" t="s">
        <v>20</v>
      </c>
      <c r="B33" s="134"/>
      <c r="C33" s="134"/>
      <c r="D33" s="134"/>
      <c r="E33" s="134"/>
      <c r="F33" s="134"/>
      <c r="G33" s="135">
        <f>AVERAGE(G32:H32)</f>
        <v>100</v>
      </c>
      <c r="H33" s="135"/>
      <c r="I33" s="77"/>
      <c r="J33" s="143"/>
      <c r="K33" s="132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x14ac:dyDescent="0.25"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x14ac:dyDescent="0.25">
      <c r="B35" s="153" t="s">
        <v>15</v>
      </c>
      <c r="C35" s="153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x14ac:dyDescent="0.25">
      <c r="B36" s="133" t="s">
        <v>87</v>
      </c>
      <c r="C36" s="133"/>
    </row>
    <row r="38" spans="1:24" x14ac:dyDescent="0.25">
      <c r="A38" s="4"/>
      <c r="B38" s="83" t="s">
        <v>16</v>
      </c>
      <c r="C38" s="83"/>
      <c r="D38" s="4"/>
      <c r="E38" s="83" t="s">
        <v>17</v>
      </c>
      <c r="F38" s="83"/>
      <c r="G38" s="83"/>
    </row>
    <row r="39" spans="1:24" x14ac:dyDescent="0.25">
      <c r="A39" s="4"/>
      <c r="B39" s="83" t="s">
        <v>39</v>
      </c>
      <c r="C39" s="83"/>
      <c r="D39" s="4"/>
      <c r="E39" s="35" t="s">
        <v>40</v>
      </c>
      <c r="F39" s="4"/>
      <c r="G39" s="4"/>
    </row>
    <row r="40" spans="1:24" x14ac:dyDescent="0.25">
      <c r="A40" s="4"/>
      <c r="B40" s="4"/>
      <c r="C40" s="5"/>
      <c r="D40" s="4"/>
      <c r="E40" s="4"/>
      <c r="F40" s="4"/>
      <c r="G40" s="4"/>
    </row>
    <row r="41" spans="1:24" x14ac:dyDescent="0.25">
      <c r="A41" s="4"/>
      <c r="B41" s="4"/>
      <c r="D41" s="4"/>
      <c r="E41" s="4"/>
      <c r="G41" s="4"/>
    </row>
    <row r="42" spans="1:24" x14ac:dyDescent="0.25">
      <c r="A42" s="4"/>
      <c r="B42" s="84" t="s">
        <v>36</v>
      </c>
      <c r="C42" s="84"/>
      <c r="D42" s="4"/>
      <c r="E42" s="81" t="s">
        <v>43</v>
      </c>
      <c r="F42" s="81"/>
      <c r="G42" s="81"/>
    </row>
    <row r="43" spans="1:24" x14ac:dyDescent="0.25">
      <c r="A43" s="4"/>
      <c r="B43" s="85" t="s">
        <v>74</v>
      </c>
      <c r="C43" s="85"/>
      <c r="D43" s="4"/>
      <c r="E43" s="82" t="s">
        <v>38</v>
      </c>
      <c r="F43" s="82"/>
      <c r="G43" s="82"/>
    </row>
  </sheetData>
  <mergeCells count="54">
    <mergeCell ref="B17:C17"/>
    <mergeCell ref="B18:C18"/>
    <mergeCell ref="B25:C25"/>
    <mergeCell ref="B26:C26"/>
    <mergeCell ref="B19:C19"/>
    <mergeCell ref="B30:C30"/>
    <mergeCell ref="B27:C27"/>
    <mergeCell ref="B28:C28"/>
    <mergeCell ref="B29:C29"/>
    <mergeCell ref="B22:C22"/>
    <mergeCell ref="A13:D13"/>
    <mergeCell ref="A23:D23"/>
    <mergeCell ref="E23:H23"/>
    <mergeCell ref="E42:G42"/>
    <mergeCell ref="E43:G43"/>
    <mergeCell ref="B35:C35"/>
    <mergeCell ref="B36:C36"/>
    <mergeCell ref="B43:C43"/>
    <mergeCell ref="B42:C42"/>
    <mergeCell ref="B38:C38"/>
    <mergeCell ref="B39:C39"/>
    <mergeCell ref="E38:G38"/>
    <mergeCell ref="B16:C16"/>
    <mergeCell ref="B15:C15"/>
    <mergeCell ref="B31:C31"/>
    <mergeCell ref="B24:C24"/>
    <mergeCell ref="H2:I2"/>
    <mergeCell ref="A10:A11"/>
    <mergeCell ref="B10:C11"/>
    <mergeCell ref="D10:D11"/>
    <mergeCell ref="E10:G10"/>
    <mergeCell ref="H10:H11"/>
    <mergeCell ref="A4:K4"/>
    <mergeCell ref="D5:K9"/>
    <mergeCell ref="A9:C9"/>
    <mergeCell ref="A3:K3"/>
    <mergeCell ref="A2:G2"/>
    <mergeCell ref="J2:K2"/>
    <mergeCell ref="K23:K33"/>
    <mergeCell ref="A5:B5"/>
    <mergeCell ref="A6:B6"/>
    <mergeCell ref="A7:B7"/>
    <mergeCell ref="A8:B8"/>
    <mergeCell ref="A32:F32"/>
    <mergeCell ref="A33:F33"/>
    <mergeCell ref="G33:H33"/>
    <mergeCell ref="B12:C12"/>
    <mergeCell ref="K10:K11"/>
    <mergeCell ref="I10:I11"/>
    <mergeCell ref="J10:J11"/>
    <mergeCell ref="J32:J33"/>
    <mergeCell ref="B14:C14"/>
    <mergeCell ref="B20:C20"/>
    <mergeCell ref="B21:C21"/>
  </mergeCells>
  <pageMargins left="0.7" right="0.22" top="0.32" bottom="0.24" header="0.2" footer="0.22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2016-12-05T06:50:46Z</cp:lastPrinted>
  <dcterms:created xsi:type="dcterms:W3CDTF">2014-11-23T23:48:32Z</dcterms:created>
  <dcterms:modified xsi:type="dcterms:W3CDTF">2016-12-05T06:52:58Z</dcterms:modified>
</cp:coreProperties>
</file>