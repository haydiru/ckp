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490" windowHeight="7155"/>
  </bookViews>
  <sheets>
    <sheet name="CKP-T Okt14" sheetId="1" r:id="rId1"/>
    <sheet name="LP Okt14" sheetId="3" r:id="rId2"/>
    <sheet name="CKP-R Okt14" sheetId="2" r:id="rId3"/>
  </sheets>
  <definedNames>
    <definedName name="_xlnm.Print_Area" localSheetId="2">'CKP-R Okt14'!$A$2:$K$45</definedName>
    <definedName name="_xlnm.Print_Area" localSheetId="0">'CKP-T Okt14'!$A$2:$I$27</definedName>
    <definedName name="_xlnm.Print_Area" localSheetId="1">'LP Okt14'!$A$1:$H$115</definedName>
  </definedNames>
  <calcPr calcId="145621"/>
</workbook>
</file>

<file path=xl/calcChain.xml><?xml version="1.0" encoding="utf-8"?>
<calcChain xmlns="http://schemas.openxmlformats.org/spreadsheetml/2006/main">
  <c r="G20" i="2" l="1"/>
  <c r="J20" i="2"/>
  <c r="G21" i="2"/>
  <c r="J21" i="2"/>
  <c r="G19" i="2"/>
  <c r="J19" i="2"/>
  <c r="G15" i="2"/>
  <c r="G16" i="2"/>
  <c r="G17" i="2"/>
  <c r="G18" i="2"/>
  <c r="G22" i="2"/>
  <c r="G14" i="2"/>
  <c r="J22" i="2"/>
  <c r="J18" i="2"/>
  <c r="J14" i="2"/>
  <c r="J15" i="2"/>
  <c r="J16" i="2"/>
  <c r="J17" i="2"/>
  <c r="J23" i="2" l="1"/>
  <c r="G94" i="3"/>
  <c r="G89" i="3"/>
  <c r="G90" i="3"/>
  <c r="G78" i="3"/>
  <c r="G73" i="3"/>
  <c r="G74" i="3"/>
  <c r="G69" i="3"/>
  <c r="G70" i="3"/>
  <c r="G71" i="3"/>
  <c r="G67" i="3"/>
  <c r="G63" i="3"/>
  <c r="G54" i="3"/>
  <c r="G49" i="3"/>
  <c r="G45" i="3"/>
  <c r="G44" i="3"/>
  <c r="G41" i="3"/>
  <c r="G42" i="3"/>
  <c r="G43" i="3"/>
  <c r="G34" i="3"/>
  <c r="G35" i="3"/>
  <c r="G36" i="3"/>
  <c r="G25" i="3"/>
  <c r="G26" i="3"/>
  <c r="G19" i="3"/>
  <c r="G20" i="3"/>
  <c r="G21" i="3"/>
  <c r="G15" i="3"/>
  <c r="G13" i="3"/>
  <c r="G14" i="3"/>
  <c r="G101" i="3"/>
  <c r="G102" i="3"/>
  <c r="G88" i="3"/>
  <c r="G75" i="3" l="1"/>
  <c r="G28" i="3"/>
  <c r="G103" i="3" l="1"/>
  <c r="G100" i="3"/>
  <c r="G99" i="3"/>
  <c r="G98" i="3"/>
  <c r="G97" i="3"/>
  <c r="G96" i="3"/>
  <c r="G95" i="3"/>
  <c r="G93" i="3"/>
  <c r="G92" i="3"/>
  <c r="G91" i="3"/>
  <c r="G87" i="3"/>
  <c r="G86" i="3"/>
  <c r="G85" i="3"/>
  <c r="G84" i="3"/>
  <c r="G83" i="3"/>
  <c r="G81" i="3"/>
  <c r="G80" i="3"/>
  <c r="G79" i="3"/>
  <c r="G77" i="3"/>
  <c r="G76" i="3"/>
  <c r="G68" i="3"/>
  <c r="G66" i="3"/>
  <c r="G65" i="3"/>
  <c r="G37" i="3"/>
  <c r="G38" i="3"/>
  <c r="G39" i="3"/>
  <c r="G40" i="3"/>
  <c r="G46" i="3"/>
  <c r="G47" i="3"/>
  <c r="G48" i="3"/>
  <c r="G50" i="3"/>
  <c r="G51" i="3"/>
  <c r="G52" i="3"/>
  <c r="G53" i="3"/>
  <c r="G55" i="3"/>
  <c r="G56" i="3"/>
  <c r="G57" i="3"/>
  <c r="G58" i="3"/>
  <c r="G59" i="3"/>
  <c r="G60" i="3"/>
  <c r="G61" i="3"/>
  <c r="G62" i="3"/>
  <c r="G64" i="3"/>
  <c r="G72" i="3"/>
  <c r="G33" i="3" l="1"/>
  <c r="G30" i="3"/>
  <c r="G31" i="3"/>
  <c r="G32" i="3"/>
  <c r="G29" i="3"/>
  <c r="G27" i="3"/>
  <c r="G24" i="3"/>
  <c r="G23" i="3"/>
  <c r="G16" i="3"/>
  <c r="G22" i="3" l="1"/>
  <c r="G18" i="3"/>
  <c r="G17" i="3"/>
  <c r="G12" i="3"/>
  <c r="G11" i="3"/>
  <c r="H33" i="2" l="1"/>
  <c r="B12" i="2" l="1"/>
  <c r="D12" i="2" s="1"/>
  <c r="E12" i="2" s="1"/>
  <c r="F12" i="2" s="1"/>
  <c r="G12" i="2" s="1"/>
  <c r="H12" i="2" s="1"/>
  <c r="I12" i="2" s="1"/>
  <c r="J12" i="2" s="1"/>
  <c r="K12" i="2" s="1"/>
  <c r="B11" i="1"/>
  <c r="D11" i="1" s="1"/>
  <c r="E11" i="1" s="1"/>
  <c r="F11" i="1" s="1"/>
  <c r="G11" i="1" s="1"/>
  <c r="H11" i="1" l="1"/>
  <c r="I11" i="1" s="1"/>
  <c r="G33" i="2"/>
  <c r="G34" i="2" s="1"/>
</calcChain>
</file>

<file path=xl/sharedStrings.xml><?xml version="1.0" encoding="utf-8"?>
<sst xmlns="http://schemas.openxmlformats.org/spreadsheetml/2006/main" count="343" uniqueCount="132">
  <si>
    <t>CKP-T</t>
  </si>
  <si>
    <t>Satuan Organisasi</t>
  </si>
  <si>
    <t>: BPS Kota Bontang</t>
  </si>
  <si>
    <t>Nama</t>
  </si>
  <si>
    <t>Jabatan</t>
  </si>
  <si>
    <t>Bulan</t>
  </si>
  <si>
    <t>No</t>
  </si>
  <si>
    <t>Uraian Kegiatan</t>
  </si>
  <si>
    <t xml:space="preserve">Satuan </t>
  </si>
  <si>
    <t>Indikator Kinerja</t>
  </si>
  <si>
    <t>Tingkat Kualitas                  (%)</t>
  </si>
  <si>
    <t>Ket</t>
  </si>
  <si>
    <t>Target *)</t>
  </si>
  <si>
    <t>Realisasi</t>
  </si>
  <si>
    <t>%</t>
  </si>
  <si>
    <t>Penilaian Kinerja</t>
  </si>
  <si>
    <t>Pejabat Penilai</t>
  </si>
  <si>
    <t>Pegawai Yang Dinilai</t>
  </si>
  <si>
    <t>CKP-R</t>
  </si>
  <si>
    <t>RATA-RATA</t>
  </si>
  <si>
    <t>CAPAIAN KINERJA PEGAWAI (CKP)</t>
  </si>
  <si>
    <t>LAPORAN PEKERJAAN BPS KOTA BONTANG</t>
  </si>
  <si>
    <t>Kota</t>
  </si>
  <si>
    <t>Subbag/Seksi</t>
  </si>
  <si>
    <t>Hari/Tanggal</t>
  </si>
  <si>
    <t>Pekerjaan yang dilaksanakan</t>
  </si>
  <si>
    <t>Satuan</t>
  </si>
  <si>
    <t>Target /Vol</t>
  </si>
  <si>
    <t>Absolut</t>
  </si>
  <si>
    <t>kegiatan</t>
  </si>
  <si>
    <t>Kode Butir Kegiatan</t>
  </si>
  <si>
    <t>Angka Kredit</t>
  </si>
  <si>
    <t>yel-yel pagi</t>
  </si>
  <si>
    <t>: Haidir Magribi</t>
  </si>
  <si>
    <t>: Integrasi Pengolahan dan Diseminasi Statistik</t>
  </si>
  <si>
    <t>Kegiatan</t>
  </si>
  <si>
    <t>Drs.H.Basiran Suwandi</t>
  </si>
  <si>
    <t>NIP. 196010051982031004</t>
  </si>
  <si>
    <t>NIP. 199310012016021001</t>
  </si>
  <si>
    <t>Kepala BPS Kota Bontang</t>
  </si>
  <si>
    <t>Seksi Integrasi Pengolahan dan Diseminasi Statistik</t>
  </si>
  <si>
    <t xml:space="preserve">Seksi Integrasi Pengolahan </t>
  </si>
  <si>
    <t>dan Diseminasi Statistik</t>
  </si>
  <si>
    <t>Haidir Magribi</t>
  </si>
  <si>
    <t>cek email IPDS dan BPS Bontang</t>
  </si>
  <si>
    <t>Jum'at</t>
  </si>
  <si>
    <t>Senin</t>
  </si>
  <si>
    <t>Selasa</t>
  </si>
  <si>
    <t>TARGET KINERJA PEGAWAI TAHUN 2016</t>
  </si>
  <si>
    <t>CAPAIAN KINERJA PEGAWAI TAHUN 2016</t>
  </si>
  <si>
    <t>Melayani permintaan data</t>
  </si>
  <si>
    <t>Tanggal:</t>
  </si>
  <si>
    <t>Kesepakatan Kinerja</t>
  </si>
  <si>
    <t>Rabu</t>
  </si>
  <si>
    <t>Kamis</t>
  </si>
  <si>
    <t>tabel</t>
  </si>
  <si>
    <t>jum'at</t>
  </si>
  <si>
    <t>unit-update</t>
  </si>
  <si>
    <r>
      <t xml:space="preserve">upload tabel dinamis ke </t>
    </r>
    <r>
      <rPr>
        <i/>
        <sz val="11"/>
        <color theme="1"/>
        <rFont val="Calibri"/>
        <family val="2"/>
        <scheme val="minor"/>
      </rPr>
      <t>website</t>
    </r>
  </si>
  <si>
    <t>Membuat uang makan</t>
  </si>
  <si>
    <t>Dokumen</t>
  </si>
  <si>
    <t>Mengumpulkan CKP, LP Pegawai</t>
  </si>
  <si>
    <t>Jumat</t>
  </si>
  <si>
    <t>Memperbaiki Jaringan</t>
  </si>
  <si>
    <t>Mengelola Website BPS Kota Bontang</t>
  </si>
  <si>
    <t>: Oktober 2016</t>
  </si>
  <si>
    <t>Upload infoGrafis di Website</t>
  </si>
  <si>
    <t>Perawatan Jaringan</t>
  </si>
  <si>
    <r>
      <t xml:space="preserve">Upload Tabel statis di </t>
    </r>
    <r>
      <rPr>
        <i/>
        <sz val="11"/>
        <color theme="1"/>
        <rFont val="Calibri"/>
        <family val="2"/>
        <scheme val="minor"/>
      </rPr>
      <t>Website</t>
    </r>
  </si>
  <si>
    <t>Merekap Kuitansi &amp; Surat Tugas perjalanan dinas Taskforce, Korlap, Penyisiran SE 2016</t>
  </si>
  <si>
    <t>DL Konsultasi Penyusunan Data Pembangunan Kota Bontang Tahun 2016</t>
  </si>
  <si>
    <t xml:space="preserve">Instalasi Printer </t>
  </si>
  <si>
    <t>Mencatat Surat Masuk</t>
  </si>
  <si>
    <t>Rekap Absensi</t>
  </si>
  <si>
    <t>Entri PNBP</t>
  </si>
  <si>
    <t>Membuat CKP/LP</t>
  </si>
  <si>
    <t>memperbaiki PC Jaringan</t>
  </si>
  <si>
    <t>Entri TK Online</t>
  </si>
  <si>
    <t>Membuat Daftar Gaji November</t>
  </si>
  <si>
    <t>Merapikan SK Pegawai</t>
  </si>
  <si>
    <t>Rapat Bersama Kepala BPS</t>
  </si>
  <si>
    <t>Upload Infografis Ke Website</t>
  </si>
  <si>
    <t>Print Gaji November</t>
  </si>
  <si>
    <t>Membuat Surat Tugas</t>
  </si>
  <si>
    <t>Membuat Surat Pengantar</t>
  </si>
  <si>
    <t>Memperbaiki Layout DDA</t>
  </si>
  <si>
    <t>Membperbaiki Layout DDA</t>
  </si>
  <si>
    <t>Mengirim Laporan Pajak</t>
  </si>
  <si>
    <t>Menambah Rekam Absensi Pegawai Baru</t>
  </si>
  <si>
    <t>Menyelesaikan Perbaikan Layout DDA</t>
  </si>
  <si>
    <t>Mengurus KTP</t>
  </si>
  <si>
    <t>Setting Komputer</t>
  </si>
  <si>
    <t>Fotocopy bukti pembayaran</t>
  </si>
  <si>
    <t>Menerima Surat Masuk</t>
  </si>
  <si>
    <t>engurus BPJS</t>
  </si>
  <si>
    <t>Membantu Cek Lelang Motor</t>
  </si>
  <si>
    <t>Melayani Permintaan Data</t>
  </si>
  <si>
    <t>Kerja bakti di Kecamatan</t>
  </si>
  <si>
    <t>Olahraga pagi</t>
  </si>
  <si>
    <t>Rekap Absen</t>
  </si>
  <si>
    <t xml:space="preserve">Membuat Aplikasi Pesut untuk Provinsi </t>
  </si>
  <si>
    <t>Menerima surat masuk</t>
  </si>
  <si>
    <t>Mengelola Website BPS Bontang</t>
  </si>
  <si>
    <t>Instalasi Scanner</t>
  </si>
  <si>
    <t>Mendesain Tamplate DDA</t>
  </si>
  <si>
    <t>Menerima dan melakukan pengecekan Buku Publikasi</t>
  </si>
  <si>
    <t>Menerima dan melakukan pengecekan Varia Statistik</t>
  </si>
  <si>
    <t>Membuat SK SPMT</t>
  </si>
  <si>
    <t>Import data pegawai pindahan baru</t>
  </si>
  <si>
    <t>Rekam KGB Hergiyas</t>
  </si>
  <si>
    <t>membuat SK KGB Hergiyas</t>
  </si>
  <si>
    <t>Upload Infografis ke Website</t>
  </si>
  <si>
    <t>Mengelola Absen Online</t>
  </si>
  <si>
    <t>Print KP4 Nuha</t>
  </si>
  <si>
    <t>Buat SK KGB</t>
  </si>
  <si>
    <t>Tanggal: 1 November 2016</t>
  </si>
  <si>
    <t>File</t>
  </si>
  <si>
    <t>.</t>
  </si>
  <si>
    <t>: Otober 2016</t>
  </si>
  <si>
    <t>Tanggal: 2 November 2016</t>
  </si>
  <si>
    <t>UTAMA</t>
  </si>
  <si>
    <t>TAMBAHAN</t>
  </si>
  <si>
    <t>Mendesain tamplate layout Publikasi Bontang Dalam Angka</t>
  </si>
  <si>
    <t>naskah</t>
  </si>
  <si>
    <t>Memeriksa tabel Bontang dalam angka</t>
  </si>
  <si>
    <t>Update aplikasi entri Wisnus</t>
  </si>
  <si>
    <t>Membuat SK KGB</t>
  </si>
  <si>
    <t>: November 2016</t>
  </si>
  <si>
    <t>18 Oktober 2016</t>
  </si>
  <si>
    <t>Print Kartu pegawai</t>
  </si>
  <si>
    <t>Rekam SK KGB</t>
  </si>
  <si>
    <t>Membuat daftar Gaji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</si>
</sst>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4" formatCode="0_);\(0\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Segoe UI"/>
      <family val="2"/>
    </font>
    <font>
      <sz val="11"/>
      <color theme="1"/>
      <name val="Arial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2">
    <xf numFmtId="0" fontId="0" fillId="0" borderId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0" fontId="2" fillId="0" borderId="0"/>
  </cellStyleXfs>
  <cellXfs count="132">
    <xf numFmtId="0" fontId="0" fillId="0" borderId="0" xfId="0"/>
    <xf numFmtId="0" fontId="4" fillId="0" borderId="0" xfId="0" applyFont="1" applyAlignment="1">
      <alignment horizontal="center"/>
    </xf>
    <xf numFmtId="164" fontId="0" fillId="0" borderId="7" xfId="0" applyNumberFormat="1" applyBorder="1" applyAlignment="1">
      <alignment horizontal="center" vertical="center"/>
    </xf>
    <xf numFmtId="0" fontId="3" fillId="0" borderId="0" xfId="0" applyFont="1"/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9" fontId="0" fillId="0" borderId="0" xfId="1" applyFont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left"/>
    </xf>
    <xf numFmtId="17" fontId="6" fillId="0" borderId="0" xfId="0" applyNumberFormat="1" applyFont="1" applyFill="1" applyAlignment="1">
      <alignment horizontal="left"/>
    </xf>
    <xf numFmtId="0" fontId="3" fillId="0" borderId="7" xfId="0" applyFont="1" applyBorder="1" applyAlignment="1">
      <alignment horizontal="center" vertical="center" wrapText="1"/>
    </xf>
    <xf numFmtId="9" fontId="3" fillId="0" borderId="7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0" fontId="6" fillId="0" borderId="7" xfId="0" applyFont="1" applyFill="1" applyBorder="1" applyAlignment="1">
      <alignment vertical="center" wrapText="1"/>
    </xf>
    <xf numFmtId="164" fontId="0" fillId="0" borderId="7" xfId="0" applyNumberFormat="1" applyFont="1" applyBorder="1" applyAlignment="1">
      <alignment horizontal="center" vertical="center"/>
    </xf>
    <xf numFmtId="9" fontId="6" fillId="0" borderId="7" xfId="1" applyFont="1" applyFill="1" applyBorder="1" applyAlignment="1">
      <alignment horizontal="center" vertical="center"/>
    </xf>
    <xf numFmtId="0" fontId="0" fillId="0" borderId="0" xfId="0" applyBorder="1"/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/>
    <xf numFmtId="164" fontId="5" fillId="0" borderId="7" xfId="0" applyNumberFormat="1" applyFont="1" applyFill="1" applyBorder="1" applyAlignment="1">
      <alignment horizontal="center" vertical="center"/>
    </xf>
    <xf numFmtId="0" fontId="5" fillId="0" borderId="7" xfId="0" applyFont="1" applyFill="1" applyBorder="1"/>
    <xf numFmtId="0" fontId="0" fillId="0" borderId="0" xfId="0" applyBorder="1" applyAlignment="1"/>
    <xf numFmtId="164" fontId="0" fillId="0" borderId="12" xfId="0" applyNumberFormat="1" applyBorder="1" applyAlignment="1">
      <alignment horizontal="center" vertical="center"/>
    </xf>
    <xf numFmtId="43" fontId="0" fillId="0" borderId="7" xfId="8" applyFont="1" applyBorder="1"/>
    <xf numFmtId="0" fontId="6" fillId="0" borderId="0" xfId="0" applyFont="1" applyFill="1" applyBorder="1" applyAlignment="1">
      <alignment horizontal="center" vertical="center"/>
    </xf>
    <xf numFmtId="164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 wrapText="1"/>
    </xf>
    <xf numFmtId="9" fontId="6" fillId="0" borderId="0" xfId="1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vertical="center"/>
    </xf>
    <xf numFmtId="164" fontId="6" fillId="0" borderId="7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0" xfId="0" applyBorder="1" applyAlignment="1">
      <alignment horizontal="left"/>
    </xf>
    <xf numFmtId="164" fontId="6" fillId="0" borderId="12" xfId="0" applyNumberFormat="1" applyFont="1" applyBorder="1" applyAlignment="1">
      <alignment vertical="center"/>
    </xf>
    <xf numFmtId="9" fontId="0" fillId="0" borderId="0" xfId="1" applyFont="1" applyAlignment="1">
      <alignment vertical="center"/>
    </xf>
    <xf numFmtId="0" fontId="0" fillId="0" borderId="0" xfId="0" applyBorder="1" applyAlignment="1">
      <alignment horizontal="left"/>
    </xf>
    <xf numFmtId="0" fontId="7" fillId="0" borderId="0" xfId="0" applyFont="1" applyAlignment="1">
      <alignment horizontal="center" vertical="center"/>
    </xf>
    <xf numFmtId="49" fontId="0" fillId="0" borderId="0" xfId="0" applyNumberFormat="1"/>
    <xf numFmtId="164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164" fontId="6" fillId="0" borderId="0" xfId="0" applyNumberFormat="1" applyFont="1" applyBorder="1" applyAlignment="1">
      <alignment vertical="center"/>
    </xf>
    <xf numFmtId="2" fontId="0" fillId="0" borderId="0" xfId="0" applyNumberFormat="1" applyBorder="1" applyAlignment="1">
      <alignment horizontal="center"/>
    </xf>
    <xf numFmtId="164" fontId="6" fillId="0" borderId="7" xfId="0" applyNumberFormat="1" applyFont="1" applyBorder="1" applyAlignment="1">
      <alignment vertical="center"/>
    </xf>
    <xf numFmtId="164" fontId="0" fillId="0" borderId="7" xfId="0" applyNumberFormat="1" applyBorder="1" applyAlignment="1">
      <alignment horizontal="center" vertical="center"/>
    </xf>
    <xf numFmtId="9" fontId="7" fillId="0" borderId="0" xfId="1" applyFon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0" xfId="0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7" xfId="0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6" xfId="0" applyBorder="1" applyAlignment="1">
      <alignment vertical="center" wrapText="1"/>
    </xf>
    <xf numFmtId="164" fontId="0" fillId="0" borderId="7" xfId="0" applyNumberFormat="1" applyBorder="1" applyAlignment="1">
      <alignment horizontal="center" vertical="center"/>
    </xf>
    <xf numFmtId="0" fontId="6" fillId="0" borderId="16" xfId="0" applyFont="1" applyFill="1" applyBorder="1" applyAlignment="1">
      <alignment vertical="center" wrapText="1"/>
    </xf>
    <xf numFmtId="0" fontId="6" fillId="0" borderId="7" xfId="0" applyFont="1" applyFill="1" applyBorder="1" applyAlignment="1">
      <alignment vertical="center"/>
    </xf>
    <xf numFmtId="164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9" fontId="7" fillId="0" borderId="0" xfId="1" applyFon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0" xfId="0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7" xfId="0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164" fontId="0" fillId="0" borderId="7" xfId="0" applyNumberFormat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14" fontId="6" fillId="0" borderId="3" xfId="0" applyNumberFormat="1" applyFont="1" applyFill="1" applyBorder="1" applyAlignment="1">
      <alignment horizontal="center" vertical="center" wrapText="1"/>
    </xf>
    <xf numFmtId="14" fontId="6" fillId="0" borderId="8" xfId="0" applyNumberFormat="1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/>
    </xf>
    <xf numFmtId="14" fontId="6" fillId="0" borderId="6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5" fillId="0" borderId="1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164" fontId="6" fillId="0" borderId="16" xfId="0" applyNumberFormat="1" applyFont="1" applyBorder="1" applyAlignment="1">
      <alignment horizontal="center" vertical="center"/>
    </xf>
    <xf numFmtId="164" fontId="6" fillId="0" borderId="5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20" xfId="0" applyFont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0" fillId="2" borderId="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3" fillId="0" borderId="0" xfId="0" applyFont="1" applyAlignment="1">
      <alignment horizontal="left"/>
    </xf>
    <xf numFmtId="43" fontId="0" fillId="0" borderId="3" xfId="8" applyFont="1" applyBorder="1"/>
    <xf numFmtId="43" fontId="0" fillId="0" borderId="6" xfId="8" applyFont="1" applyBorder="1"/>
    <xf numFmtId="164" fontId="3" fillId="0" borderId="7" xfId="0" applyNumberFormat="1" applyFont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0" fontId="0" fillId="0" borderId="19" xfId="0" applyBorder="1"/>
    <xf numFmtId="0" fontId="9" fillId="0" borderId="24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164" fontId="0" fillId="0" borderId="5" xfId="0" applyNumberFormat="1" applyBorder="1" applyAlignment="1">
      <alignment horizontal="center" vertical="center"/>
    </xf>
    <xf numFmtId="0" fontId="0" fillId="0" borderId="5" xfId="0" applyBorder="1"/>
    <xf numFmtId="0" fontId="0" fillId="0" borderId="4" xfId="0" applyBorder="1"/>
    <xf numFmtId="0" fontId="0" fillId="0" borderId="13" xfId="0" applyBorder="1"/>
    <xf numFmtId="0" fontId="6" fillId="0" borderId="7" xfId="0" applyFont="1" applyFill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/>
    </xf>
    <xf numFmtId="2" fontId="5" fillId="0" borderId="7" xfId="0" applyNumberFormat="1" applyFont="1" applyBorder="1" applyAlignment="1">
      <alignment horizontal="center" vertical="center"/>
    </xf>
    <xf numFmtId="2" fontId="5" fillId="0" borderId="7" xfId="0" applyNumberFormat="1" applyFont="1" applyBorder="1" applyAlignment="1">
      <alignment horizontal="center" vertical="center"/>
    </xf>
  </cellXfs>
  <cellStyles count="12">
    <cellStyle name="Comma" xfId="8" builtinId="3"/>
    <cellStyle name="Comma [0] 2" xfId="10"/>
    <cellStyle name="Normal" xfId="0" builtinId="0"/>
    <cellStyle name="Normal 2" xfId="2"/>
    <cellStyle name="Normal 3" xfId="3"/>
    <cellStyle name="Normal 4" xfId="4"/>
    <cellStyle name="Normal 5" xfId="5"/>
    <cellStyle name="Normal 6" xfId="6"/>
    <cellStyle name="Normal 7" xfId="7"/>
    <cellStyle name="Normal 8" xfId="11"/>
    <cellStyle name="Normal 8 2" xfId="9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tabSelected="1" view="pageBreakPreview" topLeftCell="A4" zoomScaleNormal="100" zoomScaleSheetLayoutView="100" workbookViewId="0">
      <selection activeCell="C8" sqref="C8"/>
    </sheetView>
  </sheetViews>
  <sheetFormatPr defaultRowHeight="15" x14ac:dyDescent="0.25"/>
  <cols>
    <col min="1" max="1" width="4.7109375" customWidth="1"/>
    <col min="2" max="2" width="13.28515625" customWidth="1"/>
    <col min="3" max="3" width="43.140625" bestFit="1" customWidth="1"/>
    <col min="4" max="4" width="13.85546875" bestFit="1" customWidth="1"/>
    <col min="5" max="6" width="8.7109375" bestFit="1" customWidth="1"/>
    <col min="7" max="7" width="4.7109375" bestFit="1" customWidth="1"/>
    <col min="8" max="8" width="8.140625" customWidth="1"/>
    <col min="9" max="9" width="10.140625" customWidth="1"/>
  </cols>
  <sheetData>
    <row r="1" spans="1:9" ht="15.75" thickBot="1" x14ac:dyDescent="0.3"/>
    <row r="2" spans="1:9" ht="15.75" thickBot="1" x14ac:dyDescent="0.3">
      <c r="H2" s="73" t="s">
        <v>0</v>
      </c>
      <c r="I2" s="74"/>
    </row>
    <row r="3" spans="1:9" ht="18.75" x14ac:dyDescent="0.3">
      <c r="A3" s="75" t="s">
        <v>48</v>
      </c>
      <c r="B3" s="75"/>
      <c r="C3" s="75"/>
      <c r="D3" s="75"/>
      <c r="E3" s="75"/>
      <c r="F3" s="75"/>
      <c r="G3" s="75"/>
      <c r="H3" s="75"/>
      <c r="I3" s="75"/>
    </row>
    <row r="4" spans="1:9" ht="18.75" x14ac:dyDescent="0.3">
      <c r="A4" s="1"/>
      <c r="B4" s="1"/>
      <c r="C4" s="1"/>
      <c r="D4" s="1"/>
      <c r="E4" s="1"/>
      <c r="F4" s="1"/>
      <c r="G4" s="1"/>
      <c r="H4" s="1"/>
      <c r="I4" s="1"/>
    </row>
    <row r="5" spans="1:9" x14ac:dyDescent="0.25">
      <c r="A5" t="s">
        <v>1</v>
      </c>
      <c r="C5" t="s">
        <v>2</v>
      </c>
    </row>
    <row r="6" spans="1:9" x14ac:dyDescent="0.25">
      <c r="A6" t="s">
        <v>3</v>
      </c>
      <c r="C6" s="8" t="s">
        <v>33</v>
      </c>
    </row>
    <row r="7" spans="1:9" x14ac:dyDescent="0.25">
      <c r="A7" t="s">
        <v>4</v>
      </c>
      <c r="C7" s="8" t="s">
        <v>34</v>
      </c>
    </row>
    <row r="8" spans="1:9" x14ac:dyDescent="0.25">
      <c r="A8" t="s">
        <v>5</v>
      </c>
      <c r="C8" t="s">
        <v>127</v>
      </c>
    </row>
    <row r="9" spans="1:9" x14ac:dyDescent="0.25">
      <c r="A9" s="76" t="s">
        <v>6</v>
      </c>
      <c r="B9" s="76" t="s">
        <v>7</v>
      </c>
      <c r="C9" s="76"/>
      <c r="D9" s="76" t="s">
        <v>8</v>
      </c>
      <c r="E9" s="76" t="s">
        <v>9</v>
      </c>
      <c r="F9" s="76"/>
      <c r="G9" s="76"/>
      <c r="H9" s="77" t="s">
        <v>10</v>
      </c>
      <c r="I9" s="76" t="s">
        <v>11</v>
      </c>
    </row>
    <row r="10" spans="1:9" x14ac:dyDescent="0.25">
      <c r="A10" s="76"/>
      <c r="B10" s="76"/>
      <c r="C10" s="76"/>
      <c r="D10" s="76"/>
      <c r="E10" s="42" t="s">
        <v>12</v>
      </c>
      <c r="F10" s="42" t="s">
        <v>13</v>
      </c>
      <c r="G10" s="42" t="s">
        <v>14</v>
      </c>
      <c r="H10" s="77"/>
      <c r="I10" s="76"/>
    </row>
    <row r="11" spans="1:9" x14ac:dyDescent="0.25">
      <c r="A11" s="41">
        <v>-1</v>
      </c>
      <c r="B11" s="79">
        <f>A11-1</f>
        <v>-2</v>
      </c>
      <c r="C11" s="79"/>
      <c r="D11" s="41">
        <f>B11-1</f>
        <v>-3</v>
      </c>
      <c r="E11" s="48">
        <f>D11-1</f>
        <v>-4</v>
      </c>
      <c r="F11" s="48">
        <f>E11-1</f>
        <v>-5</v>
      </c>
      <c r="G11" s="48">
        <f>F11-1</f>
        <v>-6</v>
      </c>
      <c r="H11" s="48">
        <f>G11-1</f>
        <v>-7</v>
      </c>
      <c r="I11" s="48">
        <f>H11-1</f>
        <v>-8</v>
      </c>
    </row>
    <row r="12" spans="1:9" x14ac:dyDescent="0.25">
      <c r="A12" s="57">
        <v>1</v>
      </c>
      <c r="B12" s="78" t="s">
        <v>50</v>
      </c>
      <c r="C12" s="78"/>
      <c r="D12" s="47" t="s">
        <v>35</v>
      </c>
      <c r="E12" s="57">
        <v>2</v>
      </c>
      <c r="F12" s="58"/>
      <c r="G12" s="58"/>
      <c r="H12" s="58"/>
      <c r="I12" s="58"/>
    </row>
    <row r="13" spans="1:9" x14ac:dyDescent="0.25">
      <c r="A13" s="57">
        <v>2</v>
      </c>
      <c r="B13" s="78" t="s">
        <v>68</v>
      </c>
      <c r="C13" s="78"/>
      <c r="D13" s="47" t="s">
        <v>55</v>
      </c>
      <c r="E13" s="57">
        <v>5</v>
      </c>
      <c r="F13" s="58"/>
      <c r="G13" s="58"/>
      <c r="H13" s="58"/>
      <c r="I13" s="58"/>
    </row>
    <row r="14" spans="1:9" x14ac:dyDescent="0.25">
      <c r="A14" s="57">
        <v>4</v>
      </c>
      <c r="B14" s="78" t="s">
        <v>66</v>
      </c>
      <c r="C14" s="78"/>
      <c r="D14" s="47" t="s">
        <v>57</v>
      </c>
      <c r="E14" s="60">
        <v>3</v>
      </c>
      <c r="F14" s="58"/>
      <c r="G14" s="58"/>
      <c r="H14" s="58"/>
      <c r="I14" s="58"/>
    </row>
    <row r="15" spans="1:9" ht="15" customHeight="1" x14ac:dyDescent="0.25">
      <c r="A15" s="57">
        <v>5</v>
      </c>
      <c r="B15" s="78" t="s">
        <v>58</v>
      </c>
      <c r="C15" s="78"/>
      <c r="D15" s="47" t="s">
        <v>55</v>
      </c>
      <c r="E15" s="57">
        <v>5</v>
      </c>
      <c r="F15" s="57"/>
      <c r="G15" s="47"/>
      <c r="H15" s="47"/>
      <c r="I15" s="59"/>
    </row>
    <row r="16" spans="1:9" ht="15" customHeight="1" x14ac:dyDescent="0.25">
      <c r="A16" s="57">
        <v>6</v>
      </c>
      <c r="B16" s="78" t="s">
        <v>67</v>
      </c>
      <c r="C16" s="78"/>
      <c r="D16" s="47" t="s">
        <v>35</v>
      </c>
      <c r="E16" s="57">
        <v>1</v>
      </c>
      <c r="F16" s="57"/>
      <c r="G16" s="47"/>
      <c r="H16" s="47"/>
      <c r="I16" s="59"/>
    </row>
    <row r="17" spans="1:9" ht="15" customHeight="1" x14ac:dyDescent="0.25">
      <c r="A17" s="43"/>
      <c r="B17" s="44"/>
      <c r="C17" s="44"/>
      <c r="D17" s="45"/>
      <c r="E17" s="43"/>
      <c r="F17" s="43"/>
      <c r="G17" s="45"/>
      <c r="H17" s="46"/>
      <c r="I17" s="31"/>
    </row>
    <row r="18" spans="1:9" ht="15" customHeight="1" x14ac:dyDescent="0.25">
      <c r="B18" s="3" t="s">
        <v>52</v>
      </c>
    </row>
    <row r="19" spans="1:9" ht="15" customHeight="1" x14ac:dyDescent="0.25">
      <c r="B19" t="s">
        <v>51</v>
      </c>
      <c r="C19" s="40" t="s">
        <v>128</v>
      </c>
    </row>
    <row r="21" spans="1:9" ht="15" customHeight="1" x14ac:dyDescent="0.25">
      <c r="A21" s="4"/>
      <c r="B21" s="70" t="s">
        <v>16</v>
      </c>
      <c r="C21" s="70"/>
      <c r="D21" s="4"/>
      <c r="F21" s="70" t="s">
        <v>17</v>
      </c>
      <c r="G21" s="70"/>
      <c r="H21" s="70"/>
    </row>
    <row r="22" spans="1:9" ht="15" customHeight="1" x14ac:dyDescent="0.25">
      <c r="A22" s="4"/>
      <c r="B22" s="70" t="s">
        <v>39</v>
      </c>
      <c r="C22" s="70"/>
      <c r="D22" s="70" t="s">
        <v>40</v>
      </c>
      <c r="E22" s="70"/>
      <c r="F22" s="70"/>
      <c r="G22" s="70"/>
      <c r="H22" s="70"/>
      <c r="I22" s="70"/>
    </row>
    <row r="23" spans="1:9" x14ac:dyDescent="0.25">
      <c r="A23" s="4"/>
      <c r="B23" s="13"/>
      <c r="C23" s="13"/>
      <c r="D23" s="4"/>
      <c r="E23" s="4"/>
      <c r="F23" s="7"/>
      <c r="G23" s="6"/>
      <c r="H23" s="12"/>
    </row>
    <row r="24" spans="1:9" x14ac:dyDescent="0.25">
      <c r="A24" s="4"/>
      <c r="B24" s="4"/>
      <c r="C24" s="5"/>
      <c r="D24" s="4"/>
      <c r="E24" s="4"/>
      <c r="F24" s="7"/>
      <c r="G24" s="6"/>
      <c r="H24" s="12"/>
    </row>
    <row r="25" spans="1:9" x14ac:dyDescent="0.25">
      <c r="A25" s="4"/>
      <c r="B25" s="4"/>
      <c r="D25" s="4"/>
      <c r="E25" s="4"/>
      <c r="F25" s="7"/>
      <c r="G25" s="6"/>
      <c r="H25" s="12"/>
    </row>
    <row r="26" spans="1:9" x14ac:dyDescent="0.25">
      <c r="A26" s="4"/>
      <c r="B26" s="71" t="s">
        <v>36</v>
      </c>
      <c r="C26" s="71"/>
      <c r="D26" s="4"/>
      <c r="E26" s="4"/>
      <c r="F26" s="68" t="s">
        <v>43</v>
      </c>
      <c r="G26" s="68"/>
      <c r="H26" s="68"/>
    </row>
    <row r="27" spans="1:9" ht="15" customHeight="1" x14ac:dyDescent="0.25">
      <c r="A27" s="4"/>
      <c r="B27" s="72" t="s">
        <v>37</v>
      </c>
      <c r="C27" s="72"/>
      <c r="D27" s="4"/>
      <c r="E27" s="4"/>
      <c r="F27" s="69" t="s">
        <v>38</v>
      </c>
      <c r="G27" s="69"/>
      <c r="H27" s="69"/>
    </row>
  </sheetData>
  <mergeCells count="22">
    <mergeCell ref="B16:C16"/>
    <mergeCell ref="B11:C11"/>
    <mergeCell ref="B15:C15"/>
    <mergeCell ref="B12:C12"/>
    <mergeCell ref="B13:C13"/>
    <mergeCell ref="B14:C14"/>
    <mergeCell ref="H2:I2"/>
    <mergeCell ref="A3:I3"/>
    <mergeCell ref="A9:A10"/>
    <mergeCell ref="B9:C10"/>
    <mergeCell ref="D9:D10"/>
    <mergeCell ref="E9:G9"/>
    <mergeCell ref="H9:H10"/>
    <mergeCell ref="I9:I10"/>
    <mergeCell ref="F26:H26"/>
    <mergeCell ref="F27:H27"/>
    <mergeCell ref="B21:C21"/>
    <mergeCell ref="B22:C22"/>
    <mergeCell ref="B26:C26"/>
    <mergeCell ref="B27:C27"/>
    <mergeCell ref="D22:I22"/>
    <mergeCell ref="F21:H21"/>
  </mergeCells>
  <printOptions horizontalCentered="1"/>
  <pageMargins left="0.70866141732283472" right="0.43307086614173229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5"/>
  <sheetViews>
    <sheetView view="pageBreakPreview" topLeftCell="A103" zoomScale="80" zoomScaleNormal="100" zoomScaleSheetLayoutView="80" workbookViewId="0">
      <selection activeCell="C14" sqref="C14"/>
    </sheetView>
  </sheetViews>
  <sheetFormatPr defaultRowHeight="15" x14ac:dyDescent="0.25"/>
  <cols>
    <col min="1" max="1" width="7.85546875" bestFit="1" customWidth="1"/>
    <col min="2" max="2" width="11.85546875" customWidth="1"/>
    <col min="3" max="3" width="53" customWidth="1"/>
    <col min="4" max="6" width="13" customWidth="1"/>
    <col min="7" max="7" width="8.140625" customWidth="1"/>
    <col min="8" max="8" width="7.42578125" customWidth="1"/>
  </cols>
  <sheetData>
    <row r="1" spans="1:8" ht="15.75" x14ac:dyDescent="0.25">
      <c r="A1" s="86" t="s">
        <v>21</v>
      </c>
      <c r="B1" s="86"/>
      <c r="C1" s="86"/>
      <c r="D1" s="86"/>
      <c r="E1" s="86"/>
      <c r="F1" s="86"/>
      <c r="G1" s="86"/>
      <c r="H1" s="86"/>
    </row>
    <row r="2" spans="1:8" x14ac:dyDescent="0.25">
      <c r="A2" s="97"/>
      <c r="B2" s="97"/>
      <c r="C2" s="97"/>
      <c r="D2" s="97"/>
      <c r="E2" s="97"/>
      <c r="F2" s="97"/>
      <c r="G2" s="97"/>
      <c r="H2" s="97"/>
    </row>
    <row r="3" spans="1:8" x14ac:dyDescent="0.25">
      <c r="A3" s="97"/>
      <c r="B3" s="8" t="s">
        <v>22</v>
      </c>
      <c r="C3" t="s">
        <v>2</v>
      </c>
      <c r="D3" s="98"/>
      <c r="E3" s="98"/>
      <c r="F3" s="98"/>
      <c r="G3" s="98"/>
      <c r="H3" s="98"/>
    </row>
    <row r="4" spans="1:8" x14ac:dyDescent="0.25">
      <c r="A4" s="97"/>
      <c r="B4" s="8" t="s">
        <v>3</v>
      </c>
      <c r="C4" s="8" t="s">
        <v>33</v>
      </c>
      <c r="D4" s="98"/>
      <c r="E4" s="98"/>
      <c r="F4" s="98"/>
      <c r="G4" s="98"/>
      <c r="H4" s="98"/>
    </row>
    <row r="5" spans="1:8" ht="15" customHeight="1" x14ac:dyDescent="0.25">
      <c r="A5" s="97"/>
      <c r="B5" s="8" t="s">
        <v>23</v>
      </c>
      <c r="C5" s="8" t="s">
        <v>34</v>
      </c>
      <c r="D5" s="98"/>
      <c r="E5" s="98"/>
      <c r="F5" s="98"/>
      <c r="G5" s="98"/>
      <c r="H5" s="98"/>
    </row>
    <row r="6" spans="1:8" x14ac:dyDescent="0.25">
      <c r="A6" s="97"/>
      <c r="B6" s="8" t="s">
        <v>5</v>
      </c>
      <c r="C6" s="9" t="s">
        <v>65</v>
      </c>
      <c r="D6" s="98"/>
      <c r="E6" s="98"/>
      <c r="F6" s="98"/>
      <c r="G6" s="98"/>
      <c r="H6" s="98"/>
    </row>
    <row r="7" spans="1:8" x14ac:dyDescent="0.25">
      <c r="A7" s="100"/>
      <c r="B7" s="99"/>
      <c r="C7" s="99"/>
      <c r="D7" s="99"/>
      <c r="E7" s="99"/>
      <c r="F7" s="99"/>
      <c r="G7" s="99"/>
      <c r="H7" s="99"/>
    </row>
    <row r="8" spans="1:8" x14ac:dyDescent="0.25">
      <c r="A8" s="87" t="s">
        <v>24</v>
      </c>
      <c r="B8" s="88"/>
      <c r="C8" s="93" t="s">
        <v>25</v>
      </c>
      <c r="D8" s="77" t="s">
        <v>26</v>
      </c>
      <c r="E8" s="77" t="s">
        <v>27</v>
      </c>
      <c r="F8" s="95" t="s">
        <v>13</v>
      </c>
      <c r="G8" s="95"/>
      <c r="H8" s="96" t="s">
        <v>11</v>
      </c>
    </row>
    <row r="9" spans="1:8" x14ac:dyDescent="0.25">
      <c r="A9" s="89"/>
      <c r="B9" s="90"/>
      <c r="C9" s="94"/>
      <c r="D9" s="77"/>
      <c r="E9" s="77"/>
      <c r="F9" s="10" t="s">
        <v>28</v>
      </c>
      <c r="G9" s="11" t="s">
        <v>14</v>
      </c>
      <c r="H9" s="96"/>
    </row>
    <row r="10" spans="1:8" x14ac:dyDescent="0.25">
      <c r="A10" s="91">
        <v>-1</v>
      </c>
      <c r="B10" s="92"/>
      <c r="C10" s="15">
        <v>-2</v>
      </c>
      <c r="D10" s="15">
        <v>-3</v>
      </c>
      <c r="E10" s="15">
        <v>-4</v>
      </c>
      <c r="F10" s="15">
        <v>-5</v>
      </c>
      <c r="G10" s="15">
        <v>-6</v>
      </c>
      <c r="H10" s="15">
        <v>-7</v>
      </c>
    </row>
    <row r="11" spans="1:8" x14ac:dyDescent="0.25">
      <c r="A11" s="80" t="s">
        <v>54</v>
      </c>
      <c r="B11" s="82">
        <v>42646</v>
      </c>
      <c r="C11" s="14" t="s">
        <v>44</v>
      </c>
      <c r="D11" s="54" t="s">
        <v>29</v>
      </c>
      <c r="E11" s="33">
        <v>1</v>
      </c>
      <c r="F11" s="33">
        <v>1</v>
      </c>
      <c r="G11" s="16">
        <f>F11/E11</f>
        <v>1</v>
      </c>
      <c r="H11" s="23"/>
    </row>
    <row r="12" spans="1:8" x14ac:dyDescent="0.25">
      <c r="A12" s="81"/>
      <c r="B12" s="83"/>
      <c r="C12" s="14" t="s">
        <v>32</v>
      </c>
      <c r="D12" s="54" t="s">
        <v>29</v>
      </c>
      <c r="E12" s="33">
        <v>1</v>
      </c>
      <c r="F12" s="33">
        <v>1</v>
      </c>
      <c r="G12" s="16">
        <f t="shared" ref="G12:G17" si="0">F12/E12</f>
        <v>1</v>
      </c>
      <c r="H12" s="23"/>
    </row>
    <row r="13" spans="1:8" x14ac:dyDescent="0.25">
      <c r="A13" s="81"/>
      <c r="B13" s="83"/>
      <c r="C13" s="14" t="s">
        <v>73</v>
      </c>
      <c r="D13" s="54" t="s">
        <v>29</v>
      </c>
      <c r="E13" s="33">
        <v>1</v>
      </c>
      <c r="F13" s="33">
        <v>1</v>
      </c>
      <c r="G13" s="16">
        <f t="shared" ref="G13:G15" si="1">F13/E13</f>
        <v>1</v>
      </c>
      <c r="H13" s="23"/>
    </row>
    <row r="14" spans="1:8" x14ac:dyDescent="0.25">
      <c r="A14" s="81"/>
      <c r="B14" s="83"/>
      <c r="C14" s="14" t="s">
        <v>71</v>
      </c>
      <c r="D14" s="54" t="s">
        <v>29</v>
      </c>
      <c r="E14" s="33">
        <v>1</v>
      </c>
      <c r="F14" s="33">
        <v>1</v>
      </c>
      <c r="G14" s="16">
        <f t="shared" si="1"/>
        <v>1</v>
      </c>
      <c r="H14" s="23"/>
    </row>
    <row r="15" spans="1:8" x14ac:dyDescent="0.25">
      <c r="A15" s="81"/>
      <c r="B15" s="83"/>
      <c r="C15" s="14" t="s">
        <v>72</v>
      </c>
      <c r="D15" s="54" t="s">
        <v>60</v>
      </c>
      <c r="E15" s="33">
        <v>3</v>
      </c>
      <c r="F15" s="33">
        <v>3</v>
      </c>
      <c r="G15" s="16">
        <f t="shared" si="1"/>
        <v>1</v>
      </c>
      <c r="H15" s="23"/>
    </row>
    <row r="16" spans="1:8" x14ac:dyDescent="0.25">
      <c r="A16" s="81"/>
      <c r="B16" s="83"/>
      <c r="C16" s="14" t="s">
        <v>61</v>
      </c>
      <c r="D16" s="54" t="s">
        <v>29</v>
      </c>
      <c r="E16" s="33">
        <v>1</v>
      </c>
      <c r="F16" s="33">
        <v>1</v>
      </c>
      <c r="G16" s="16">
        <f t="shared" ref="G16" si="2">F16/E16</f>
        <v>1</v>
      </c>
      <c r="H16" s="23"/>
    </row>
    <row r="17" spans="1:8" x14ac:dyDescent="0.25">
      <c r="A17" s="80" t="s">
        <v>56</v>
      </c>
      <c r="B17" s="82">
        <v>42647</v>
      </c>
      <c r="C17" s="14" t="s">
        <v>44</v>
      </c>
      <c r="D17" s="54" t="s">
        <v>29</v>
      </c>
      <c r="E17" s="33">
        <v>1</v>
      </c>
      <c r="F17" s="33">
        <v>1</v>
      </c>
      <c r="G17" s="16">
        <f t="shared" si="0"/>
        <v>1</v>
      </c>
      <c r="H17" s="23"/>
    </row>
    <row r="18" spans="1:8" x14ac:dyDescent="0.25">
      <c r="A18" s="81"/>
      <c r="B18" s="83"/>
      <c r="C18" s="14" t="s">
        <v>32</v>
      </c>
      <c r="D18" s="54" t="s">
        <v>29</v>
      </c>
      <c r="E18" s="33">
        <v>1</v>
      </c>
      <c r="F18" s="33">
        <v>1</v>
      </c>
      <c r="G18" s="16">
        <f t="shared" ref="G18:G29" si="3">F18/E18</f>
        <v>1</v>
      </c>
      <c r="H18" s="23"/>
    </row>
    <row r="19" spans="1:8" x14ac:dyDescent="0.25">
      <c r="A19" s="81"/>
      <c r="B19" s="83"/>
      <c r="C19" s="14" t="s">
        <v>74</v>
      </c>
      <c r="D19" s="54" t="s">
        <v>29</v>
      </c>
      <c r="E19" s="33">
        <v>1</v>
      </c>
      <c r="F19" s="33">
        <v>1</v>
      </c>
      <c r="G19" s="16">
        <f t="shared" ref="G19:G21" si="4">F19/E19</f>
        <v>1</v>
      </c>
      <c r="H19" s="23"/>
    </row>
    <row r="20" spans="1:8" x14ac:dyDescent="0.25">
      <c r="A20" s="81"/>
      <c r="B20" s="83"/>
      <c r="C20" s="14" t="s">
        <v>75</v>
      </c>
      <c r="D20" s="54" t="s">
        <v>29</v>
      </c>
      <c r="E20" s="33">
        <v>1</v>
      </c>
      <c r="F20" s="33">
        <v>1</v>
      </c>
      <c r="G20" s="16">
        <f t="shared" si="4"/>
        <v>1</v>
      </c>
      <c r="H20" s="23"/>
    </row>
    <row r="21" spans="1:8" x14ac:dyDescent="0.25">
      <c r="A21" s="81"/>
      <c r="B21" s="83"/>
      <c r="C21" s="14" t="s">
        <v>77</v>
      </c>
      <c r="D21" s="54" t="s">
        <v>29</v>
      </c>
      <c r="E21" s="33">
        <v>1</v>
      </c>
      <c r="F21" s="33">
        <v>1</v>
      </c>
      <c r="G21" s="16">
        <f t="shared" si="4"/>
        <v>1</v>
      </c>
      <c r="H21" s="23"/>
    </row>
    <row r="22" spans="1:8" x14ac:dyDescent="0.25">
      <c r="A22" s="81"/>
      <c r="B22" s="83"/>
      <c r="C22" s="14" t="s">
        <v>76</v>
      </c>
      <c r="D22" s="54" t="s">
        <v>29</v>
      </c>
      <c r="E22" s="33">
        <v>1</v>
      </c>
      <c r="F22" s="33">
        <v>1</v>
      </c>
      <c r="G22" s="16">
        <f t="shared" si="3"/>
        <v>1</v>
      </c>
      <c r="H22" s="23"/>
    </row>
    <row r="23" spans="1:8" x14ac:dyDescent="0.25">
      <c r="A23" s="80" t="s">
        <v>46</v>
      </c>
      <c r="B23" s="82">
        <v>42648</v>
      </c>
      <c r="C23" s="14" t="s">
        <v>44</v>
      </c>
      <c r="D23" s="54" t="s">
        <v>29</v>
      </c>
      <c r="E23" s="33">
        <v>1</v>
      </c>
      <c r="F23" s="33">
        <v>1</v>
      </c>
      <c r="G23" s="16">
        <f t="shared" si="3"/>
        <v>1</v>
      </c>
      <c r="H23" s="22"/>
    </row>
    <row r="24" spans="1:8" x14ac:dyDescent="0.25">
      <c r="A24" s="81"/>
      <c r="B24" s="83"/>
      <c r="C24" s="14" t="s">
        <v>32</v>
      </c>
      <c r="D24" s="54" t="s">
        <v>29</v>
      </c>
      <c r="E24" s="33">
        <v>1</v>
      </c>
      <c r="F24" s="33">
        <v>1</v>
      </c>
      <c r="G24" s="16">
        <f t="shared" si="3"/>
        <v>1</v>
      </c>
      <c r="H24" s="22"/>
    </row>
    <row r="25" spans="1:8" x14ac:dyDescent="0.25">
      <c r="A25" s="81"/>
      <c r="B25" s="83"/>
      <c r="C25" s="14" t="s">
        <v>79</v>
      </c>
      <c r="D25" s="54" t="s">
        <v>29</v>
      </c>
      <c r="E25" s="33">
        <v>1</v>
      </c>
      <c r="F25" s="33">
        <v>1</v>
      </c>
      <c r="G25" s="16">
        <f t="shared" ref="G25:G26" si="5">F25/E25</f>
        <v>1</v>
      </c>
      <c r="H25" s="22"/>
    </row>
    <row r="26" spans="1:8" x14ac:dyDescent="0.25">
      <c r="A26" s="81"/>
      <c r="B26" s="83"/>
      <c r="C26" s="14" t="s">
        <v>80</v>
      </c>
      <c r="D26" s="54" t="s">
        <v>29</v>
      </c>
      <c r="E26" s="33">
        <v>1</v>
      </c>
      <c r="F26" s="33">
        <v>1</v>
      </c>
      <c r="G26" s="16">
        <f t="shared" si="5"/>
        <v>1</v>
      </c>
      <c r="H26" s="22"/>
    </row>
    <row r="27" spans="1:8" x14ac:dyDescent="0.25">
      <c r="A27" s="81"/>
      <c r="B27" s="83"/>
      <c r="C27" s="14" t="s">
        <v>78</v>
      </c>
      <c r="D27" s="54" t="s">
        <v>29</v>
      </c>
      <c r="E27" s="33">
        <v>1</v>
      </c>
      <c r="F27" s="33">
        <v>1</v>
      </c>
      <c r="G27" s="16">
        <f t="shared" si="3"/>
        <v>1</v>
      </c>
      <c r="H27" s="22"/>
    </row>
    <row r="28" spans="1:8" x14ac:dyDescent="0.25">
      <c r="A28" s="81"/>
      <c r="B28" s="83"/>
      <c r="C28" s="14" t="s">
        <v>63</v>
      </c>
      <c r="D28" s="54" t="s">
        <v>29</v>
      </c>
      <c r="E28" s="33">
        <v>1</v>
      </c>
      <c r="F28" s="33">
        <v>1</v>
      </c>
      <c r="G28" s="16">
        <f t="shared" ref="G28" si="6">F28/E28</f>
        <v>1</v>
      </c>
      <c r="H28" s="22"/>
    </row>
    <row r="29" spans="1:8" x14ac:dyDescent="0.25">
      <c r="A29" s="84"/>
      <c r="B29" s="85"/>
      <c r="C29" s="14" t="s">
        <v>81</v>
      </c>
      <c r="D29" s="54" t="s">
        <v>116</v>
      </c>
      <c r="E29" s="33">
        <v>6</v>
      </c>
      <c r="F29" s="33">
        <v>6</v>
      </c>
      <c r="G29" s="16">
        <f t="shared" si="3"/>
        <v>1</v>
      </c>
      <c r="H29" s="22"/>
    </row>
    <row r="30" spans="1:8" x14ac:dyDescent="0.25">
      <c r="A30" s="80" t="s">
        <v>47</v>
      </c>
      <c r="B30" s="82">
        <v>42649</v>
      </c>
      <c r="C30" s="14" t="s">
        <v>44</v>
      </c>
      <c r="D30" s="54" t="s">
        <v>29</v>
      </c>
      <c r="E30" s="33">
        <v>1</v>
      </c>
      <c r="F30" s="33">
        <v>1</v>
      </c>
      <c r="G30" s="16">
        <f t="shared" ref="G30:G32" si="7">F30/E30</f>
        <v>1</v>
      </c>
      <c r="H30" s="22"/>
    </row>
    <row r="31" spans="1:8" x14ac:dyDescent="0.25">
      <c r="A31" s="81"/>
      <c r="B31" s="83"/>
      <c r="C31" s="14" t="s">
        <v>32</v>
      </c>
      <c r="D31" s="54" t="s">
        <v>29</v>
      </c>
      <c r="E31" s="33">
        <v>1</v>
      </c>
      <c r="F31" s="33">
        <v>1</v>
      </c>
      <c r="G31" s="16">
        <f t="shared" si="7"/>
        <v>1</v>
      </c>
      <c r="H31" s="22"/>
    </row>
    <row r="32" spans="1:8" x14ac:dyDescent="0.25">
      <c r="A32" s="81"/>
      <c r="B32" s="83"/>
      <c r="C32" s="14" t="s">
        <v>131</v>
      </c>
      <c r="D32" s="54" t="s">
        <v>29</v>
      </c>
      <c r="E32" s="33">
        <v>1</v>
      </c>
      <c r="F32" s="33">
        <v>1</v>
      </c>
      <c r="G32" s="16">
        <f t="shared" si="7"/>
        <v>1</v>
      </c>
      <c r="H32" s="22"/>
    </row>
    <row r="33" spans="1:8" x14ac:dyDescent="0.25">
      <c r="A33" s="81"/>
      <c r="B33" s="83"/>
      <c r="C33" s="14" t="s">
        <v>82</v>
      </c>
      <c r="D33" s="54" t="s">
        <v>29</v>
      </c>
      <c r="E33" s="33">
        <v>1</v>
      </c>
      <c r="F33" s="33">
        <v>1</v>
      </c>
      <c r="G33" s="16">
        <f t="shared" ref="G33" si="8">F33/E33</f>
        <v>1</v>
      </c>
      <c r="H33" s="22"/>
    </row>
    <row r="34" spans="1:8" x14ac:dyDescent="0.25">
      <c r="A34" s="81"/>
      <c r="B34" s="83"/>
      <c r="C34" s="14" t="s">
        <v>83</v>
      </c>
      <c r="D34" s="54" t="s">
        <v>29</v>
      </c>
      <c r="E34" s="33">
        <v>1</v>
      </c>
      <c r="F34" s="33">
        <v>1</v>
      </c>
      <c r="G34" s="16">
        <f t="shared" ref="G34:G36" si="9">F34/E34</f>
        <v>1</v>
      </c>
      <c r="H34" s="22"/>
    </row>
    <row r="35" spans="1:8" x14ac:dyDescent="0.25">
      <c r="A35" s="81"/>
      <c r="B35" s="83"/>
      <c r="C35" s="14" t="s">
        <v>85</v>
      </c>
      <c r="D35" s="54" t="s">
        <v>29</v>
      </c>
      <c r="E35" s="33">
        <v>1</v>
      </c>
      <c r="F35" s="33">
        <v>1</v>
      </c>
      <c r="G35" s="16">
        <f t="shared" si="9"/>
        <v>1</v>
      </c>
      <c r="H35" s="22"/>
    </row>
    <row r="36" spans="1:8" x14ac:dyDescent="0.25">
      <c r="A36" s="81"/>
      <c r="B36" s="83"/>
      <c r="C36" s="14" t="s">
        <v>84</v>
      </c>
      <c r="D36" s="54" t="s">
        <v>29</v>
      </c>
      <c r="E36" s="33">
        <v>1</v>
      </c>
      <c r="F36" s="33">
        <v>1</v>
      </c>
      <c r="G36" s="16">
        <f t="shared" si="9"/>
        <v>1</v>
      </c>
      <c r="H36" s="22"/>
    </row>
    <row r="37" spans="1:8" x14ac:dyDescent="0.25">
      <c r="A37" s="84"/>
      <c r="B37" s="85"/>
      <c r="C37" s="14" t="s">
        <v>59</v>
      </c>
      <c r="D37" s="54" t="s">
        <v>29</v>
      </c>
      <c r="E37" s="33">
        <v>1</v>
      </c>
      <c r="F37" s="33">
        <v>1</v>
      </c>
      <c r="G37" s="16">
        <f t="shared" ref="G37:G75" si="10">F37/E37</f>
        <v>1</v>
      </c>
      <c r="H37" s="22"/>
    </row>
    <row r="38" spans="1:8" x14ac:dyDescent="0.25">
      <c r="A38" s="80" t="s">
        <v>53</v>
      </c>
      <c r="B38" s="82">
        <v>42650</v>
      </c>
      <c r="C38" s="14" t="s">
        <v>44</v>
      </c>
      <c r="D38" s="54" t="s">
        <v>29</v>
      </c>
      <c r="E38" s="33">
        <v>1</v>
      </c>
      <c r="F38" s="33">
        <v>1</v>
      </c>
      <c r="G38" s="16">
        <f t="shared" si="10"/>
        <v>1</v>
      </c>
      <c r="H38" s="22"/>
    </row>
    <row r="39" spans="1:8" x14ac:dyDescent="0.25">
      <c r="A39" s="81"/>
      <c r="B39" s="83"/>
      <c r="C39" s="14" t="s">
        <v>32</v>
      </c>
      <c r="D39" s="54" t="s">
        <v>29</v>
      </c>
      <c r="E39" s="33">
        <v>1</v>
      </c>
      <c r="F39" s="33">
        <v>1</v>
      </c>
      <c r="G39" s="16">
        <f t="shared" si="10"/>
        <v>1</v>
      </c>
      <c r="H39" s="22"/>
    </row>
    <row r="40" spans="1:8" x14ac:dyDescent="0.25">
      <c r="A40" s="81"/>
      <c r="B40" s="83"/>
      <c r="C40" s="14" t="s">
        <v>86</v>
      </c>
      <c r="D40" s="54" t="s">
        <v>29</v>
      </c>
      <c r="E40" s="33">
        <v>1</v>
      </c>
      <c r="F40" s="33">
        <v>1</v>
      </c>
      <c r="G40" s="16">
        <f t="shared" si="10"/>
        <v>1</v>
      </c>
      <c r="H40" s="22"/>
    </row>
    <row r="41" spans="1:8" x14ac:dyDescent="0.25">
      <c r="A41" s="84"/>
      <c r="B41" s="85"/>
      <c r="C41" s="14" t="s">
        <v>87</v>
      </c>
      <c r="D41" s="54" t="s">
        <v>29</v>
      </c>
      <c r="E41" s="33">
        <v>1</v>
      </c>
      <c r="F41" s="33">
        <v>1</v>
      </c>
      <c r="G41" s="16">
        <f t="shared" ref="G41:G45" si="11">F41/E41</f>
        <v>1</v>
      </c>
      <c r="H41" s="22"/>
    </row>
    <row r="42" spans="1:8" x14ac:dyDescent="0.25">
      <c r="A42" s="80" t="s">
        <v>54</v>
      </c>
      <c r="B42" s="82">
        <v>42653</v>
      </c>
      <c r="C42" s="14" t="s">
        <v>44</v>
      </c>
      <c r="D42" s="54" t="s">
        <v>29</v>
      </c>
      <c r="E42" s="33">
        <v>1</v>
      </c>
      <c r="F42" s="33">
        <v>1</v>
      </c>
      <c r="G42" s="16">
        <f t="shared" si="11"/>
        <v>1</v>
      </c>
      <c r="H42" s="22"/>
    </row>
    <row r="43" spans="1:8" x14ac:dyDescent="0.25">
      <c r="A43" s="81"/>
      <c r="B43" s="83"/>
      <c r="C43" s="14" t="s">
        <v>85</v>
      </c>
      <c r="D43" s="54" t="s">
        <v>29</v>
      </c>
      <c r="E43" s="33">
        <v>1</v>
      </c>
      <c r="F43" s="33">
        <v>1</v>
      </c>
      <c r="G43" s="16">
        <f t="shared" si="11"/>
        <v>1</v>
      </c>
      <c r="H43" s="22"/>
    </row>
    <row r="44" spans="1:8" x14ac:dyDescent="0.25">
      <c r="A44" s="81"/>
      <c r="B44" s="83"/>
      <c r="C44" s="14" t="s">
        <v>88</v>
      </c>
      <c r="D44" s="54" t="s">
        <v>29</v>
      </c>
      <c r="E44" s="33">
        <v>1</v>
      </c>
      <c r="F44" s="33">
        <v>1</v>
      </c>
      <c r="G44" s="16">
        <f t="shared" si="11"/>
        <v>1</v>
      </c>
      <c r="H44" s="22"/>
    </row>
    <row r="45" spans="1:8" x14ac:dyDescent="0.25">
      <c r="A45" s="84"/>
      <c r="B45" s="85"/>
      <c r="C45" s="14" t="s">
        <v>63</v>
      </c>
      <c r="D45" s="54" t="s">
        <v>29</v>
      </c>
      <c r="E45" s="33">
        <v>1</v>
      </c>
      <c r="F45" s="33">
        <v>1</v>
      </c>
      <c r="G45" s="16">
        <f t="shared" si="11"/>
        <v>1</v>
      </c>
      <c r="H45" s="22"/>
    </row>
    <row r="46" spans="1:8" x14ac:dyDescent="0.25">
      <c r="A46" s="80" t="s">
        <v>45</v>
      </c>
      <c r="B46" s="82">
        <v>42654</v>
      </c>
      <c r="C46" s="14" t="s">
        <v>44</v>
      </c>
      <c r="D46" s="54" t="s">
        <v>29</v>
      </c>
      <c r="E46" s="33">
        <v>1</v>
      </c>
      <c r="F46" s="33">
        <v>1</v>
      </c>
      <c r="G46" s="16">
        <f t="shared" si="10"/>
        <v>1</v>
      </c>
      <c r="H46" s="22"/>
    </row>
    <row r="47" spans="1:8" x14ac:dyDescent="0.25">
      <c r="A47" s="81"/>
      <c r="B47" s="83"/>
      <c r="C47" s="14" t="s">
        <v>32</v>
      </c>
      <c r="D47" s="54" t="s">
        <v>29</v>
      </c>
      <c r="E47" s="33">
        <v>1</v>
      </c>
      <c r="F47" s="33">
        <v>1</v>
      </c>
      <c r="G47" s="16">
        <f t="shared" si="10"/>
        <v>1</v>
      </c>
      <c r="H47" s="22"/>
    </row>
    <row r="48" spans="1:8" x14ac:dyDescent="0.25">
      <c r="A48" s="81"/>
      <c r="B48" s="83"/>
      <c r="C48" s="14" t="s">
        <v>89</v>
      </c>
      <c r="D48" s="54" t="s">
        <v>29</v>
      </c>
      <c r="E48" s="33">
        <v>1</v>
      </c>
      <c r="F48" s="33">
        <v>1</v>
      </c>
      <c r="G48" s="16">
        <f t="shared" si="10"/>
        <v>1</v>
      </c>
      <c r="H48" s="22"/>
    </row>
    <row r="49" spans="1:8" x14ac:dyDescent="0.25">
      <c r="A49" s="81"/>
      <c r="B49" s="83"/>
      <c r="C49" s="14" t="s">
        <v>63</v>
      </c>
      <c r="D49" s="54" t="s">
        <v>29</v>
      </c>
      <c r="E49" s="33">
        <v>1</v>
      </c>
      <c r="F49" s="33">
        <v>1</v>
      </c>
      <c r="G49" s="16">
        <f t="shared" ref="G49" si="12">F49/E49</f>
        <v>1</v>
      </c>
      <c r="H49" s="22"/>
    </row>
    <row r="50" spans="1:8" x14ac:dyDescent="0.25">
      <c r="A50" s="84"/>
      <c r="B50" s="85"/>
      <c r="C50" s="14" t="s">
        <v>90</v>
      </c>
      <c r="D50" s="54" t="s">
        <v>29</v>
      </c>
      <c r="E50" s="33">
        <v>1</v>
      </c>
      <c r="F50" s="33">
        <v>1</v>
      </c>
      <c r="G50" s="16">
        <f t="shared" si="10"/>
        <v>1</v>
      </c>
      <c r="H50" s="22"/>
    </row>
    <row r="51" spans="1:8" x14ac:dyDescent="0.25">
      <c r="A51" s="80" t="s">
        <v>47</v>
      </c>
      <c r="B51" s="82">
        <v>42655</v>
      </c>
      <c r="C51" s="14" t="s">
        <v>44</v>
      </c>
      <c r="D51" s="54" t="s">
        <v>29</v>
      </c>
      <c r="E51" s="33">
        <v>1</v>
      </c>
      <c r="F51" s="33">
        <v>1</v>
      </c>
      <c r="G51" s="16">
        <f t="shared" si="10"/>
        <v>1</v>
      </c>
      <c r="H51" s="22"/>
    </row>
    <row r="52" spans="1:8" x14ac:dyDescent="0.25">
      <c r="A52" s="81"/>
      <c r="B52" s="83"/>
      <c r="C52" s="14" t="s">
        <v>32</v>
      </c>
      <c r="D52" s="54" t="s">
        <v>29</v>
      </c>
      <c r="E52" s="33">
        <v>1</v>
      </c>
      <c r="F52" s="33">
        <v>1</v>
      </c>
      <c r="G52" s="16">
        <f t="shared" si="10"/>
        <v>1</v>
      </c>
      <c r="H52" s="22"/>
    </row>
    <row r="53" spans="1:8" x14ac:dyDescent="0.25">
      <c r="A53" s="81"/>
      <c r="B53" s="83"/>
      <c r="C53" s="14" t="s">
        <v>91</v>
      </c>
      <c r="D53" s="54" t="s">
        <v>29</v>
      </c>
      <c r="E53" s="33">
        <v>1</v>
      </c>
      <c r="F53" s="33">
        <v>1</v>
      </c>
      <c r="G53" s="16">
        <f t="shared" si="10"/>
        <v>1</v>
      </c>
      <c r="H53" s="22"/>
    </row>
    <row r="54" spans="1:8" x14ac:dyDescent="0.25">
      <c r="A54" s="81"/>
      <c r="B54" s="83"/>
      <c r="C54" s="14" t="s">
        <v>92</v>
      </c>
      <c r="D54" s="54" t="s">
        <v>29</v>
      </c>
      <c r="E54" s="33">
        <v>1</v>
      </c>
      <c r="F54" s="33">
        <v>1</v>
      </c>
      <c r="G54" s="16">
        <f t="shared" ref="G54" si="13">F54/E54</f>
        <v>1</v>
      </c>
      <c r="H54" s="22"/>
    </row>
    <row r="55" spans="1:8" x14ac:dyDescent="0.25">
      <c r="A55" s="81"/>
      <c r="B55" s="83"/>
      <c r="C55" s="14" t="s">
        <v>93</v>
      </c>
      <c r="D55" s="54" t="s">
        <v>29</v>
      </c>
      <c r="E55" s="33">
        <v>1</v>
      </c>
      <c r="F55" s="33">
        <v>1</v>
      </c>
      <c r="G55" s="16">
        <f t="shared" si="10"/>
        <v>1</v>
      </c>
      <c r="H55" s="22"/>
    </row>
    <row r="56" spans="1:8" x14ac:dyDescent="0.25">
      <c r="A56" s="81"/>
      <c r="B56" s="83"/>
      <c r="C56" s="14" t="s">
        <v>94</v>
      </c>
      <c r="D56" s="54" t="s">
        <v>29</v>
      </c>
      <c r="E56" s="33">
        <v>1</v>
      </c>
      <c r="F56" s="33">
        <v>1</v>
      </c>
      <c r="G56" s="16">
        <f t="shared" si="10"/>
        <v>1</v>
      </c>
      <c r="H56" s="22"/>
    </row>
    <row r="57" spans="1:8" x14ac:dyDescent="0.25">
      <c r="A57" s="80" t="s">
        <v>53</v>
      </c>
      <c r="B57" s="82">
        <v>42656</v>
      </c>
      <c r="C57" s="14" t="s">
        <v>44</v>
      </c>
      <c r="D57" s="54" t="s">
        <v>29</v>
      </c>
      <c r="E57" s="33">
        <v>1</v>
      </c>
      <c r="F57" s="33">
        <v>1</v>
      </c>
      <c r="G57" s="16">
        <f t="shared" si="10"/>
        <v>1</v>
      </c>
      <c r="H57" s="22"/>
    </row>
    <row r="58" spans="1:8" x14ac:dyDescent="0.25">
      <c r="A58" s="81"/>
      <c r="B58" s="83"/>
      <c r="C58" s="14" t="s">
        <v>32</v>
      </c>
      <c r="D58" s="54" t="s">
        <v>29</v>
      </c>
      <c r="E58" s="33">
        <v>1</v>
      </c>
      <c r="F58" s="33">
        <v>1</v>
      </c>
      <c r="G58" s="16">
        <f t="shared" si="10"/>
        <v>1</v>
      </c>
      <c r="H58" s="22"/>
    </row>
    <row r="59" spans="1:8" x14ac:dyDescent="0.25">
      <c r="A59" s="81"/>
      <c r="B59" s="83"/>
      <c r="C59" s="14" t="s">
        <v>95</v>
      </c>
      <c r="D59" s="54" t="s">
        <v>29</v>
      </c>
      <c r="E59" s="33">
        <v>1</v>
      </c>
      <c r="F59" s="33">
        <v>1</v>
      </c>
      <c r="G59" s="16">
        <f t="shared" si="10"/>
        <v>1</v>
      </c>
      <c r="H59" s="22"/>
    </row>
    <row r="60" spans="1:8" x14ac:dyDescent="0.25">
      <c r="A60" s="81"/>
      <c r="B60" s="83"/>
      <c r="C60" s="14" t="s">
        <v>96</v>
      </c>
      <c r="D60" s="54" t="s">
        <v>29</v>
      </c>
      <c r="E60" s="33">
        <v>1</v>
      </c>
      <c r="F60" s="33">
        <v>1</v>
      </c>
      <c r="G60" s="16">
        <f t="shared" si="10"/>
        <v>1</v>
      </c>
      <c r="H60" s="22"/>
    </row>
    <row r="61" spans="1:8" x14ac:dyDescent="0.25">
      <c r="A61" s="80" t="s">
        <v>54</v>
      </c>
      <c r="B61" s="82">
        <v>42657</v>
      </c>
      <c r="C61" s="14" t="s">
        <v>44</v>
      </c>
      <c r="D61" s="54" t="s">
        <v>29</v>
      </c>
      <c r="E61" s="33">
        <v>1</v>
      </c>
      <c r="F61" s="33">
        <v>1</v>
      </c>
      <c r="G61" s="16">
        <f t="shared" si="10"/>
        <v>1</v>
      </c>
      <c r="H61" s="22"/>
    </row>
    <row r="62" spans="1:8" x14ac:dyDescent="0.25">
      <c r="A62" s="81"/>
      <c r="B62" s="83"/>
      <c r="C62" s="14" t="s">
        <v>32</v>
      </c>
      <c r="D62" s="54" t="s">
        <v>29</v>
      </c>
      <c r="E62" s="33">
        <v>1</v>
      </c>
      <c r="F62" s="33">
        <v>1</v>
      </c>
      <c r="G62" s="16">
        <f t="shared" si="10"/>
        <v>1</v>
      </c>
      <c r="H62" s="22"/>
    </row>
    <row r="63" spans="1:8" x14ac:dyDescent="0.25">
      <c r="A63" s="81"/>
      <c r="B63" s="83"/>
      <c r="C63" s="14" t="s">
        <v>98</v>
      </c>
      <c r="D63" s="54" t="s">
        <v>29</v>
      </c>
      <c r="E63" s="33">
        <v>1</v>
      </c>
      <c r="F63" s="33">
        <v>1</v>
      </c>
      <c r="G63" s="16">
        <f t="shared" ref="G63" si="14">F63/E63</f>
        <v>1</v>
      </c>
      <c r="H63" s="22"/>
    </row>
    <row r="64" spans="1:8" x14ac:dyDescent="0.25">
      <c r="A64" s="81"/>
      <c r="B64" s="83"/>
      <c r="C64" s="14" t="s">
        <v>97</v>
      </c>
      <c r="D64" s="54" t="s">
        <v>29</v>
      </c>
      <c r="E64" s="33">
        <v>1</v>
      </c>
      <c r="F64" s="33">
        <v>1</v>
      </c>
      <c r="G64" s="16">
        <f t="shared" si="10"/>
        <v>1</v>
      </c>
      <c r="H64" s="22"/>
    </row>
    <row r="65" spans="1:8" x14ac:dyDescent="0.25">
      <c r="A65" s="80" t="s">
        <v>45</v>
      </c>
      <c r="B65" s="82">
        <v>42660</v>
      </c>
      <c r="C65" s="14" t="s">
        <v>44</v>
      </c>
      <c r="D65" s="54" t="s">
        <v>29</v>
      </c>
      <c r="E65" s="33">
        <v>1</v>
      </c>
      <c r="F65" s="33">
        <v>1</v>
      </c>
      <c r="G65" s="16">
        <f t="shared" ref="G65:G68" si="15">F65/E65</f>
        <v>1</v>
      </c>
      <c r="H65" s="22"/>
    </row>
    <row r="66" spans="1:8" x14ac:dyDescent="0.25">
      <c r="A66" s="81"/>
      <c r="B66" s="83"/>
      <c r="C66" s="14" t="s">
        <v>32</v>
      </c>
      <c r="D66" s="54" t="s">
        <v>29</v>
      </c>
      <c r="E66" s="33">
        <v>1</v>
      </c>
      <c r="F66" s="33">
        <v>1</v>
      </c>
      <c r="G66" s="16">
        <f t="shared" si="15"/>
        <v>1</v>
      </c>
      <c r="H66" s="22"/>
    </row>
    <row r="67" spans="1:8" x14ac:dyDescent="0.25">
      <c r="A67" s="81"/>
      <c r="B67" s="83"/>
      <c r="C67" s="14" t="s">
        <v>100</v>
      </c>
      <c r="D67" s="54" t="s">
        <v>29</v>
      </c>
      <c r="E67" s="33">
        <v>1</v>
      </c>
      <c r="F67" s="33">
        <v>1</v>
      </c>
      <c r="G67" s="16">
        <f t="shared" ref="G67" si="16">F67/E67</f>
        <v>1</v>
      </c>
      <c r="H67" s="22"/>
    </row>
    <row r="68" spans="1:8" x14ac:dyDescent="0.25">
      <c r="A68" s="84"/>
      <c r="B68" s="85"/>
      <c r="C68" s="14" t="s">
        <v>99</v>
      </c>
      <c r="D68" s="54" t="s">
        <v>29</v>
      </c>
      <c r="E68" s="33">
        <v>1</v>
      </c>
      <c r="F68" s="33">
        <v>1</v>
      </c>
      <c r="G68" s="16">
        <f t="shared" si="15"/>
        <v>1</v>
      </c>
      <c r="H68" s="22"/>
    </row>
    <row r="69" spans="1:8" x14ac:dyDescent="0.25">
      <c r="A69" s="80" t="s">
        <v>46</v>
      </c>
      <c r="B69" s="82">
        <v>42661</v>
      </c>
      <c r="C69" s="14" t="s">
        <v>44</v>
      </c>
      <c r="D69" s="54" t="s">
        <v>29</v>
      </c>
      <c r="E69" s="33">
        <v>1</v>
      </c>
      <c r="F69" s="33">
        <v>1</v>
      </c>
      <c r="G69" s="16">
        <f t="shared" ref="G69:G71" si="17">F69/E69</f>
        <v>1</v>
      </c>
      <c r="H69" s="22"/>
    </row>
    <row r="70" spans="1:8" x14ac:dyDescent="0.25">
      <c r="A70" s="81"/>
      <c r="B70" s="83"/>
      <c r="C70" s="63" t="s">
        <v>101</v>
      </c>
      <c r="D70" s="54" t="s">
        <v>29</v>
      </c>
      <c r="E70" s="33">
        <v>1</v>
      </c>
      <c r="F70" s="33">
        <v>1</v>
      </c>
      <c r="G70" s="16">
        <f t="shared" si="17"/>
        <v>1</v>
      </c>
      <c r="H70" s="22"/>
    </row>
    <row r="71" spans="1:8" x14ac:dyDescent="0.25">
      <c r="A71" s="81"/>
      <c r="B71" s="83"/>
      <c r="C71" s="14" t="s">
        <v>100</v>
      </c>
      <c r="D71" s="54" t="s">
        <v>29</v>
      </c>
      <c r="E71" s="33">
        <v>1</v>
      </c>
      <c r="F71" s="33">
        <v>1</v>
      </c>
      <c r="G71" s="16">
        <f t="shared" si="17"/>
        <v>1</v>
      </c>
      <c r="H71" s="22"/>
    </row>
    <row r="72" spans="1:8" ht="30" x14ac:dyDescent="0.25">
      <c r="A72" s="84"/>
      <c r="B72" s="85"/>
      <c r="C72" s="61" t="s">
        <v>70</v>
      </c>
      <c r="D72" s="54" t="s">
        <v>29</v>
      </c>
      <c r="E72" s="33">
        <v>1</v>
      </c>
      <c r="F72" s="33">
        <v>1</v>
      </c>
      <c r="G72" s="16">
        <f t="shared" si="10"/>
        <v>1</v>
      </c>
      <c r="H72" s="22"/>
    </row>
    <row r="73" spans="1:8" x14ac:dyDescent="0.25">
      <c r="A73" s="80" t="s">
        <v>47</v>
      </c>
      <c r="B73" s="82">
        <v>42662</v>
      </c>
      <c r="C73" s="61" t="s">
        <v>102</v>
      </c>
      <c r="D73" s="54" t="s">
        <v>29</v>
      </c>
      <c r="E73" s="33">
        <v>1</v>
      </c>
      <c r="F73" s="33">
        <v>1</v>
      </c>
      <c r="G73" s="16">
        <f t="shared" ref="G73:G74" si="18">F73/E73</f>
        <v>1</v>
      </c>
      <c r="H73" s="22"/>
    </row>
    <row r="74" spans="1:8" x14ac:dyDescent="0.25">
      <c r="A74" s="81"/>
      <c r="B74" s="83"/>
      <c r="C74" s="14" t="s">
        <v>44</v>
      </c>
      <c r="D74" s="54" t="s">
        <v>29</v>
      </c>
      <c r="E74" s="33">
        <v>1</v>
      </c>
      <c r="F74" s="33">
        <v>1</v>
      </c>
      <c r="G74" s="16">
        <f t="shared" si="18"/>
        <v>1</v>
      </c>
      <c r="H74" s="22"/>
    </row>
    <row r="75" spans="1:8" x14ac:dyDescent="0.25">
      <c r="A75" s="84"/>
      <c r="B75" s="85"/>
      <c r="C75" s="14" t="s">
        <v>100</v>
      </c>
      <c r="D75" s="54" t="s">
        <v>29</v>
      </c>
      <c r="E75" s="33">
        <v>1</v>
      </c>
      <c r="F75" s="33">
        <v>1</v>
      </c>
      <c r="G75" s="16">
        <f t="shared" si="10"/>
        <v>1</v>
      </c>
      <c r="H75" s="22"/>
    </row>
    <row r="76" spans="1:8" x14ac:dyDescent="0.25">
      <c r="A76" s="80" t="s">
        <v>53</v>
      </c>
      <c r="B76" s="82">
        <v>42667</v>
      </c>
      <c r="C76" s="14" t="s">
        <v>44</v>
      </c>
      <c r="D76" s="54" t="s">
        <v>29</v>
      </c>
      <c r="E76" s="33">
        <v>1</v>
      </c>
      <c r="F76" s="33">
        <v>1</v>
      </c>
      <c r="G76" s="16">
        <f t="shared" ref="G76:G81" si="19">F76/E76</f>
        <v>1</v>
      </c>
      <c r="H76" s="22"/>
    </row>
    <row r="77" spans="1:8" x14ac:dyDescent="0.25">
      <c r="A77" s="81"/>
      <c r="B77" s="83"/>
      <c r="C77" s="14" t="s">
        <v>32</v>
      </c>
      <c r="D77" s="54" t="s">
        <v>29</v>
      </c>
      <c r="E77" s="33">
        <v>1</v>
      </c>
      <c r="F77" s="33">
        <v>1</v>
      </c>
      <c r="G77" s="16">
        <f t="shared" si="19"/>
        <v>1</v>
      </c>
      <c r="H77" s="22"/>
    </row>
    <row r="78" spans="1:8" x14ac:dyDescent="0.25">
      <c r="A78" s="81"/>
      <c r="B78" s="83"/>
      <c r="C78" s="14" t="s">
        <v>104</v>
      </c>
      <c r="D78" s="54" t="s">
        <v>29</v>
      </c>
      <c r="E78" s="33">
        <v>1</v>
      </c>
      <c r="F78" s="33">
        <v>1</v>
      </c>
      <c r="G78" s="16">
        <f t="shared" ref="G78" si="20">F78/E78</f>
        <v>1</v>
      </c>
      <c r="H78" s="22"/>
    </row>
    <row r="79" spans="1:8" x14ac:dyDescent="0.25">
      <c r="A79" s="84"/>
      <c r="B79" s="85"/>
      <c r="C79" s="14" t="s">
        <v>103</v>
      </c>
      <c r="D79" s="54" t="s">
        <v>29</v>
      </c>
      <c r="E79" s="33">
        <v>1</v>
      </c>
      <c r="F79" s="33">
        <v>1</v>
      </c>
      <c r="G79" s="16">
        <f t="shared" si="19"/>
        <v>1</v>
      </c>
      <c r="H79" s="22"/>
    </row>
    <row r="80" spans="1:8" x14ac:dyDescent="0.25">
      <c r="A80" s="80" t="s">
        <v>54</v>
      </c>
      <c r="B80" s="82">
        <v>42668</v>
      </c>
      <c r="C80" s="14" t="s">
        <v>44</v>
      </c>
      <c r="D80" s="54" t="s">
        <v>29</v>
      </c>
      <c r="E80" s="33">
        <v>1</v>
      </c>
      <c r="F80" s="33">
        <v>1</v>
      </c>
      <c r="G80" s="16">
        <f t="shared" si="19"/>
        <v>1</v>
      </c>
      <c r="H80" s="22"/>
    </row>
    <row r="81" spans="1:8" x14ac:dyDescent="0.25">
      <c r="A81" s="81"/>
      <c r="B81" s="83"/>
      <c r="C81" s="14" t="s">
        <v>105</v>
      </c>
      <c r="D81" s="54" t="s">
        <v>29</v>
      </c>
      <c r="E81" s="33">
        <v>1</v>
      </c>
      <c r="F81" s="33">
        <v>1</v>
      </c>
      <c r="G81" s="16">
        <f t="shared" si="19"/>
        <v>1</v>
      </c>
      <c r="H81" s="22"/>
    </row>
    <row r="82" spans="1:8" x14ac:dyDescent="0.25">
      <c r="A82" s="81"/>
      <c r="B82" s="83"/>
      <c r="C82" s="64" t="s">
        <v>106</v>
      </c>
      <c r="D82" s="54"/>
      <c r="E82" s="33"/>
      <c r="F82" s="33"/>
      <c r="G82" s="16"/>
      <c r="H82" s="22"/>
    </row>
    <row r="83" spans="1:8" x14ac:dyDescent="0.25">
      <c r="A83" s="80" t="s">
        <v>62</v>
      </c>
      <c r="B83" s="82">
        <v>42669</v>
      </c>
      <c r="C83" s="14" t="s">
        <v>44</v>
      </c>
      <c r="D83" s="54" t="s">
        <v>29</v>
      </c>
      <c r="E83" s="33">
        <v>1</v>
      </c>
      <c r="F83" s="33">
        <v>1</v>
      </c>
      <c r="G83" s="16">
        <f t="shared" ref="G83:G103" si="21">F83/E83</f>
        <v>1</v>
      </c>
      <c r="H83" s="22"/>
    </row>
    <row r="84" spans="1:8" x14ac:dyDescent="0.25">
      <c r="A84" s="81"/>
      <c r="B84" s="83"/>
      <c r="C84" s="14" t="s">
        <v>32</v>
      </c>
      <c r="D84" s="54" t="s">
        <v>29</v>
      </c>
      <c r="E84" s="33">
        <v>1</v>
      </c>
      <c r="F84" s="33">
        <v>1</v>
      </c>
      <c r="G84" s="16">
        <f t="shared" si="21"/>
        <v>1</v>
      </c>
      <c r="H84" s="22"/>
    </row>
    <row r="85" spans="1:8" ht="30" x14ac:dyDescent="0.25">
      <c r="A85" s="84"/>
      <c r="B85" s="85"/>
      <c r="C85" s="14" t="s">
        <v>69</v>
      </c>
      <c r="D85" s="54" t="s">
        <v>29</v>
      </c>
      <c r="E85" s="33">
        <v>1</v>
      </c>
      <c r="F85" s="33">
        <v>1</v>
      </c>
      <c r="G85" s="16">
        <f t="shared" si="21"/>
        <v>1</v>
      </c>
      <c r="H85" s="22"/>
    </row>
    <row r="86" spans="1:8" x14ac:dyDescent="0.25">
      <c r="A86" s="80" t="s">
        <v>46</v>
      </c>
      <c r="B86" s="82">
        <v>42669</v>
      </c>
      <c r="C86" s="14" t="s">
        <v>44</v>
      </c>
      <c r="D86" s="54" t="s">
        <v>29</v>
      </c>
      <c r="E86" s="33">
        <v>1</v>
      </c>
      <c r="F86" s="33">
        <v>1</v>
      </c>
      <c r="G86" s="16">
        <f t="shared" si="21"/>
        <v>1</v>
      </c>
      <c r="H86" s="22"/>
    </row>
    <row r="87" spans="1:8" x14ac:dyDescent="0.25">
      <c r="A87" s="81"/>
      <c r="B87" s="83"/>
      <c r="C87" s="14" t="s">
        <v>32</v>
      </c>
      <c r="D87" s="54" t="s">
        <v>29</v>
      </c>
      <c r="E87" s="33">
        <v>1</v>
      </c>
      <c r="F87" s="33">
        <v>1</v>
      </c>
      <c r="G87" s="16">
        <f t="shared" si="21"/>
        <v>1</v>
      </c>
      <c r="H87" s="22"/>
    </row>
    <row r="88" spans="1:8" x14ac:dyDescent="0.25">
      <c r="A88" s="81"/>
      <c r="B88" s="83"/>
      <c r="C88" s="14" t="s">
        <v>130</v>
      </c>
      <c r="D88" s="54" t="s">
        <v>60</v>
      </c>
      <c r="E88" s="33">
        <v>3</v>
      </c>
      <c r="F88" s="33">
        <v>3</v>
      </c>
      <c r="G88" s="16">
        <f t="shared" si="21"/>
        <v>1</v>
      </c>
      <c r="H88" s="22"/>
    </row>
    <row r="89" spans="1:8" x14ac:dyDescent="0.25">
      <c r="A89" s="81"/>
      <c r="B89" s="83"/>
      <c r="C89" s="14" t="s">
        <v>107</v>
      </c>
      <c r="D89" s="54" t="s">
        <v>29</v>
      </c>
      <c r="E89" s="33">
        <v>1</v>
      </c>
      <c r="F89" s="33">
        <v>1</v>
      </c>
      <c r="G89" s="16">
        <f t="shared" ref="G89:G90" si="22">F89/E89</f>
        <v>1</v>
      </c>
      <c r="H89" s="22"/>
    </row>
    <row r="90" spans="1:8" x14ac:dyDescent="0.25">
      <c r="A90" s="81"/>
      <c r="B90" s="83"/>
      <c r="C90" s="14" t="s">
        <v>108</v>
      </c>
      <c r="D90" s="54" t="s">
        <v>29</v>
      </c>
      <c r="E90" s="33">
        <v>1</v>
      </c>
      <c r="F90" s="33">
        <v>1</v>
      </c>
      <c r="G90" s="16">
        <f t="shared" si="22"/>
        <v>1</v>
      </c>
      <c r="H90" s="22"/>
    </row>
    <row r="91" spans="1:8" x14ac:dyDescent="0.25">
      <c r="A91" s="84"/>
      <c r="B91" s="85"/>
      <c r="C91" s="14" t="s">
        <v>99</v>
      </c>
      <c r="D91" s="54" t="s">
        <v>29</v>
      </c>
      <c r="E91" s="33">
        <v>1</v>
      </c>
      <c r="F91" s="33">
        <v>1</v>
      </c>
      <c r="G91" s="16">
        <f t="shared" si="21"/>
        <v>1</v>
      </c>
      <c r="H91" s="22"/>
    </row>
    <row r="92" spans="1:8" x14ac:dyDescent="0.25">
      <c r="A92" s="80" t="s">
        <v>47</v>
      </c>
      <c r="B92" s="82">
        <v>42670</v>
      </c>
      <c r="C92" s="14" t="s">
        <v>44</v>
      </c>
      <c r="D92" s="54" t="s">
        <v>29</v>
      </c>
      <c r="E92" s="33">
        <v>1</v>
      </c>
      <c r="F92" s="33">
        <v>1</v>
      </c>
      <c r="G92" s="16">
        <f t="shared" si="21"/>
        <v>1</v>
      </c>
      <c r="H92" s="22"/>
    </row>
    <row r="93" spans="1:8" x14ac:dyDescent="0.25">
      <c r="A93" s="81"/>
      <c r="B93" s="83"/>
      <c r="C93" s="14" t="s">
        <v>32</v>
      </c>
      <c r="D93" s="54" t="s">
        <v>29</v>
      </c>
      <c r="E93" s="33">
        <v>1</v>
      </c>
      <c r="F93" s="33">
        <v>1</v>
      </c>
      <c r="G93" s="16">
        <f t="shared" si="21"/>
        <v>1</v>
      </c>
      <c r="H93" s="22"/>
    </row>
    <row r="94" spans="1:8" x14ac:dyDescent="0.25">
      <c r="A94" s="81"/>
      <c r="B94" s="83"/>
      <c r="C94" s="14" t="s">
        <v>110</v>
      </c>
      <c r="D94" s="54" t="s">
        <v>29</v>
      </c>
      <c r="E94" s="33">
        <v>1</v>
      </c>
      <c r="F94" s="33">
        <v>1</v>
      </c>
      <c r="G94" s="16">
        <f t="shared" ref="G94" si="23">F94/E94</f>
        <v>1</v>
      </c>
      <c r="H94" s="22"/>
    </row>
    <row r="95" spans="1:8" x14ac:dyDescent="0.25">
      <c r="A95" s="84"/>
      <c r="B95" s="85"/>
      <c r="C95" s="14" t="s">
        <v>109</v>
      </c>
      <c r="D95" s="54" t="s">
        <v>29</v>
      </c>
      <c r="E95" s="33">
        <v>1</v>
      </c>
      <c r="F95" s="33">
        <v>1</v>
      </c>
      <c r="G95" s="16">
        <f t="shared" si="21"/>
        <v>1</v>
      </c>
      <c r="H95" s="22"/>
    </row>
    <row r="96" spans="1:8" x14ac:dyDescent="0.25">
      <c r="A96" s="80" t="s">
        <v>53</v>
      </c>
      <c r="B96" s="82">
        <v>42671</v>
      </c>
      <c r="C96" s="14" t="s">
        <v>44</v>
      </c>
      <c r="D96" s="54" t="s">
        <v>29</v>
      </c>
      <c r="E96" s="33">
        <v>1</v>
      </c>
      <c r="F96" s="33">
        <v>1</v>
      </c>
      <c r="G96" s="16">
        <f t="shared" si="21"/>
        <v>1</v>
      </c>
      <c r="H96" s="22"/>
    </row>
    <row r="97" spans="1:8" x14ac:dyDescent="0.25">
      <c r="A97" s="81"/>
      <c r="B97" s="83"/>
      <c r="C97" s="14" t="s">
        <v>32</v>
      </c>
      <c r="D97" s="54" t="s">
        <v>29</v>
      </c>
      <c r="E97" s="33">
        <v>1</v>
      </c>
      <c r="F97" s="33">
        <v>1</v>
      </c>
      <c r="G97" s="16">
        <f t="shared" si="21"/>
        <v>1</v>
      </c>
      <c r="H97" s="22"/>
    </row>
    <row r="98" spans="1:8" x14ac:dyDescent="0.25">
      <c r="A98" s="84"/>
      <c r="B98" s="85"/>
      <c r="C98" s="14" t="s">
        <v>111</v>
      </c>
      <c r="D98" s="54" t="s">
        <v>29</v>
      </c>
      <c r="E98" s="33">
        <v>2</v>
      </c>
      <c r="F98" s="33">
        <v>2</v>
      </c>
      <c r="G98" s="16">
        <f t="shared" si="21"/>
        <v>1</v>
      </c>
      <c r="H98" s="22"/>
    </row>
    <row r="99" spans="1:8" x14ac:dyDescent="0.25">
      <c r="A99" s="80" t="s">
        <v>54</v>
      </c>
      <c r="B99" s="82">
        <v>42674</v>
      </c>
      <c r="C99" s="14" t="s">
        <v>44</v>
      </c>
      <c r="D99" s="54" t="s">
        <v>29</v>
      </c>
      <c r="E99" s="33">
        <v>1</v>
      </c>
      <c r="F99" s="33">
        <v>1</v>
      </c>
      <c r="G99" s="16">
        <f t="shared" si="21"/>
        <v>1</v>
      </c>
      <c r="H99" s="22"/>
    </row>
    <row r="100" spans="1:8" x14ac:dyDescent="0.25">
      <c r="A100" s="81"/>
      <c r="B100" s="83"/>
      <c r="C100" s="14" t="s">
        <v>32</v>
      </c>
      <c r="D100" s="54" t="s">
        <v>29</v>
      </c>
      <c r="E100" s="33">
        <v>1</v>
      </c>
      <c r="F100" s="33">
        <v>1</v>
      </c>
      <c r="G100" s="16">
        <f t="shared" si="21"/>
        <v>1</v>
      </c>
      <c r="H100" s="22"/>
    </row>
    <row r="101" spans="1:8" x14ac:dyDescent="0.25">
      <c r="A101" s="81"/>
      <c r="B101" s="83"/>
      <c r="C101" s="14" t="s">
        <v>112</v>
      </c>
      <c r="D101" s="54" t="s">
        <v>29</v>
      </c>
      <c r="E101" s="33">
        <v>1</v>
      </c>
      <c r="F101" s="33">
        <v>1</v>
      </c>
      <c r="G101" s="16">
        <f t="shared" ref="G101" si="24">F101/E101</f>
        <v>1</v>
      </c>
      <c r="H101" s="22"/>
    </row>
    <row r="102" spans="1:8" x14ac:dyDescent="0.25">
      <c r="A102" s="81"/>
      <c r="B102" s="83"/>
      <c r="C102" s="14" t="s">
        <v>114</v>
      </c>
      <c r="D102" s="54" t="s">
        <v>60</v>
      </c>
      <c r="E102" s="33">
        <v>4</v>
      </c>
      <c r="F102" s="33">
        <v>4</v>
      </c>
      <c r="G102" s="16">
        <f t="shared" si="21"/>
        <v>1</v>
      </c>
      <c r="H102" s="22"/>
    </row>
    <row r="103" spans="1:8" x14ac:dyDescent="0.25">
      <c r="A103" s="84"/>
      <c r="B103" s="85"/>
      <c r="C103" s="14" t="s">
        <v>113</v>
      </c>
      <c r="D103" s="54" t="s">
        <v>29</v>
      </c>
      <c r="E103" s="33">
        <v>1</v>
      </c>
      <c r="F103" s="33">
        <v>1</v>
      </c>
      <c r="G103" s="16">
        <f t="shared" si="21"/>
        <v>1</v>
      </c>
      <c r="H103" s="22"/>
    </row>
    <row r="104" spans="1:8" x14ac:dyDescent="0.25">
      <c r="A104" s="34"/>
      <c r="B104" s="27"/>
      <c r="C104" s="29"/>
      <c r="D104" s="27"/>
      <c r="E104" s="28"/>
      <c r="F104" s="28"/>
      <c r="G104" s="30"/>
      <c r="H104" s="27"/>
    </row>
    <row r="105" spans="1:8" x14ac:dyDescent="0.25">
      <c r="A105" s="34"/>
      <c r="B105" s="55" t="s">
        <v>15</v>
      </c>
      <c r="C105" s="27"/>
      <c r="D105" s="27"/>
      <c r="E105" s="27"/>
      <c r="F105" s="27"/>
      <c r="G105" s="27"/>
      <c r="H105" s="12"/>
    </row>
    <row r="106" spans="1:8" x14ac:dyDescent="0.25">
      <c r="A106" s="34"/>
      <c r="B106" s="56" t="s">
        <v>115</v>
      </c>
      <c r="C106" s="55"/>
      <c r="D106" s="12"/>
      <c r="E106" s="53"/>
      <c r="F106" s="7"/>
      <c r="G106" s="50"/>
      <c r="H106" s="12"/>
    </row>
    <row r="107" spans="1:8" x14ac:dyDescent="0.25">
      <c r="A107" s="34"/>
      <c r="B107" s="19"/>
      <c r="C107" s="56"/>
      <c r="D107" s="12"/>
      <c r="E107" s="53"/>
      <c r="F107" s="7"/>
      <c r="G107" s="50"/>
      <c r="H107" s="12"/>
    </row>
    <row r="108" spans="1:8" x14ac:dyDescent="0.25">
      <c r="A108" s="34"/>
      <c r="B108" s="18"/>
      <c r="C108" s="12"/>
      <c r="D108" s="12"/>
      <c r="E108" s="53"/>
      <c r="F108" s="7"/>
      <c r="G108" s="50"/>
    </row>
    <row r="109" spans="1:8" x14ac:dyDescent="0.25">
      <c r="A109" s="34"/>
      <c r="B109" s="38" t="s">
        <v>16</v>
      </c>
      <c r="C109" s="38"/>
      <c r="D109" s="38"/>
      <c r="H109" s="37"/>
    </row>
    <row r="110" spans="1:8" x14ac:dyDescent="0.25">
      <c r="A110" s="34"/>
      <c r="B110" s="51" t="s">
        <v>39</v>
      </c>
      <c r="C110" s="51"/>
      <c r="F110" s="70" t="s">
        <v>41</v>
      </c>
      <c r="G110" s="70"/>
      <c r="H110" s="70"/>
    </row>
    <row r="111" spans="1:8" x14ac:dyDescent="0.25">
      <c r="A111" s="34"/>
      <c r="B111" s="51"/>
      <c r="C111" s="51"/>
      <c r="E111" s="38"/>
      <c r="F111" s="70" t="s">
        <v>42</v>
      </c>
      <c r="G111" s="70"/>
      <c r="H111" s="70"/>
    </row>
    <row r="112" spans="1:8" x14ac:dyDescent="0.25">
      <c r="A112" s="34"/>
      <c r="B112" s="19"/>
      <c r="C112" s="51"/>
      <c r="D112" s="38"/>
      <c r="E112" s="38"/>
      <c r="F112" s="50"/>
      <c r="G112" s="50"/>
      <c r="H112" s="12"/>
    </row>
    <row r="113" spans="1:8" x14ac:dyDescent="0.25">
      <c r="A113" s="34"/>
      <c r="B113" s="18"/>
      <c r="C113" s="12"/>
      <c r="D113" s="12"/>
      <c r="E113" s="53"/>
      <c r="F113" s="7"/>
      <c r="G113" s="50"/>
      <c r="H113" s="49"/>
    </row>
    <row r="114" spans="1:8" x14ac:dyDescent="0.25">
      <c r="A114" s="34"/>
      <c r="B114" s="39" t="s">
        <v>36</v>
      </c>
      <c r="C114" s="52"/>
      <c r="D114" s="52"/>
      <c r="E114" s="52"/>
      <c r="F114" s="49"/>
      <c r="G114" s="49" t="s">
        <v>43</v>
      </c>
      <c r="H114" s="50"/>
    </row>
    <row r="115" spans="1:8" x14ac:dyDescent="0.25">
      <c r="A115" s="34"/>
      <c r="B115" s="12" t="s">
        <v>37</v>
      </c>
      <c r="C115" s="53"/>
      <c r="D115" s="53"/>
      <c r="E115" s="53"/>
      <c r="F115" s="50"/>
      <c r="G115" s="50" t="s">
        <v>38</v>
      </c>
    </row>
  </sheetData>
  <mergeCells count="54">
    <mergeCell ref="B69:B72"/>
    <mergeCell ref="A69:A72"/>
    <mergeCell ref="B73:B75"/>
    <mergeCell ref="A73:A75"/>
    <mergeCell ref="A1:H1"/>
    <mergeCell ref="A8:B9"/>
    <mergeCell ref="A10:B10"/>
    <mergeCell ref="C8:C9"/>
    <mergeCell ref="E8:E9"/>
    <mergeCell ref="D8:D9"/>
    <mergeCell ref="F8:G8"/>
    <mergeCell ref="H8:H9"/>
    <mergeCell ref="A2:H2"/>
    <mergeCell ref="D3:H7"/>
    <mergeCell ref="A3:A7"/>
    <mergeCell ref="B7:C7"/>
    <mergeCell ref="A86:A91"/>
    <mergeCell ref="B86:B91"/>
    <mergeCell ref="A92:A95"/>
    <mergeCell ref="B92:B95"/>
    <mergeCell ref="A96:A98"/>
    <mergeCell ref="B96:B98"/>
    <mergeCell ref="F110:H110"/>
    <mergeCell ref="F111:H111"/>
    <mergeCell ref="A65:A68"/>
    <mergeCell ref="B65:B68"/>
    <mergeCell ref="A42:A45"/>
    <mergeCell ref="B42:B45"/>
    <mergeCell ref="A76:A79"/>
    <mergeCell ref="B76:B79"/>
    <mergeCell ref="A80:A82"/>
    <mergeCell ref="B80:B82"/>
    <mergeCell ref="A83:A85"/>
    <mergeCell ref="B83:B85"/>
    <mergeCell ref="A99:A103"/>
    <mergeCell ref="B99:B103"/>
    <mergeCell ref="A51:A56"/>
    <mergeCell ref="B51:B56"/>
    <mergeCell ref="A57:A60"/>
    <mergeCell ref="B57:B60"/>
    <mergeCell ref="A61:A64"/>
    <mergeCell ref="B61:B64"/>
    <mergeCell ref="B11:B16"/>
    <mergeCell ref="A11:A16"/>
    <mergeCell ref="A38:A41"/>
    <mergeCell ref="B38:B41"/>
    <mergeCell ref="A46:A50"/>
    <mergeCell ref="B46:B50"/>
    <mergeCell ref="A23:A29"/>
    <mergeCell ref="B23:B29"/>
    <mergeCell ref="A30:A37"/>
    <mergeCell ref="B30:B37"/>
    <mergeCell ref="B17:B22"/>
    <mergeCell ref="A17:A22"/>
  </mergeCells>
  <printOptions horizontalCentered="1"/>
  <pageMargins left="0.36" right="0.3" top="0.75" bottom="0.75" header="0.3" footer="0.3"/>
  <pageSetup paperSize="9" scale="69" fitToWidth="0" fitToHeight="0" orientation="portrait" r:id="rId1"/>
  <rowBreaks count="1" manualBreakCount="1">
    <brk id="72" max="7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4"/>
  <sheetViews>
    <sheetView view="pageBreakPreview" topLeftCell="A7" zoomScale="80" zoomScaleNormal="80" zoomScaleSheetLayoutView="80" workbookViewId="0">
      <selection activeCell="B14" sqref="B14:C14"/>
    </sheetView>
  </sheetViews>
  <sheetFormatPr defaultRowHeight="15" x14ac:dyDescent="0.25"/>
  <cols>
    <col min="1" max="1" width="4.7109375" customWidth="1"/>
    <col min="2" max="2" width="20.42578125" customWidth="1"/>
    <col min="3" max="3" width="46.7109375" customWidth="1"/>
    <col min="4" max="4" width="48.5703125" customWidth="1"/>
    <col min="5" max="5" width="9.5703125" bestFit="1" customWidth="1"/>
    <col min="6" max="6" width="10.5703125" bestFit="1" customWidth="1"/>
    <col min="7" max="7" width="7.140625" bestFit="1" customWidth="1"/>
    <col min="8" max="8" width="9.28515625" customWidth="1"/>
    <col min="9" max="9" width="10.140625" customWidth="1"/>
    <col min="11" max="14" width="9.140625" style="17"/>
    <col min="15" max="15" width="18.5703125" style="17" customWidth="1"/>
    <col min="20" max="20" width="10.28515625" bestFit="1" customWidth="1"/>
  </cols>
  <sheetData>
    <row r="1" spans="1:25" ht="15.75" thickBot="1" x14ac:dyDescent="0.3"/>
    <row r="2" spans="1:25" ht="15.75" thickBot="1" x14ac:dyDescent="0.3">
      <c r="A2" s="112"/>
      <c r="B2" s="112"/>
      <c r="C2" s="112"/>
      <c r="D2" s="112"/>
      <c r="E2" s="112"/>
      <c r="F2" s="112"/>
      <c r="G2" s="114"/>
      <c r="H2" s="73" t="s">
        <v>18</v>
      </c>
      <c r="I2" s="74"/>
      <c r="J2" s="115"/>
      <c r="K2" s="112"/>
    </row>
    <row r="3" spans="1:25" ht="18.75" x14ac:dyDescent="0.3">
      <c r="A3" s="75" t="s">
        <v>49</v>
      </c>
      <c r="B3" s="75"/>
      <c r="C3" s="75"/>
      <c r="D3" s="75"/>
      <c r="E3" s="75"/>
      <c r="F3" s="75"/>
      <c r="G3" s="75"/>
      <c r="H3" s="75"/>
      <c r="I3" s="75"/>
      <c r="J3" s="75"/>
      <c r="K3" s="75"/>
    </row>
    <row r="4" spans="1:25" ht="18.75" x14ac:dyDescent="0.3">
      <c r="A4" s="75"/>
      <c r="B4" s="75"/>
      <c r="C4" s="75"/>
      <c r="D4" s="75"/>
      <c r="E4" s="75"/>
      <c r="F4" s="75"/>
      <c r="G4" s="75"/>
      <c r="H4" s="75"/>
      <c r="I4" s="75"/>
      <c r="J4" s="75"/>
      <c r="K4" s="75"/>
    </row>
    <row r="5" spans="1:25" x14ac:dyDescent="0.25">
      <c r="A5" s="103" t="s">
        <v>1</v>
      </c>
      <c r="B5" s="103"/>
      <c r="C5" t="s">
        <v>2</v>
      </c>
      <c r="D5" s="112"/>
      <c r="E5" s="112"/>
      <c r="F5" s="112"/>
      <c r="G5" s="112"/>
      <c r="H5" s="112"/>
      <c r="I5" s="112"/>
      <c r="J5" s="112"/>
      <c r="K5" s="112"/>
    </row>
    <row r="6" spans="1:25" x14ac:dyDescent="0.25">
      <c r="A6" s="103" t="s">
        <v>3</v>
      </c>
      <c r="B6" s="103"/>
      <c r="C6" s="8" t="s">
        <v>33</v>
      </c>
      <c r="D6" s="112"/>
      <c r="E6" s="112"/>
      <c r="F6" s="112"/>
      <c r="G6" s="112"/>
      <c r="H6" s="112"/>
      <c r="I6" s="112"/>
      <c r="J6" s="112"/>
      <c r="K6" s="112"/>
    </row>
    <row r="7" spans="1:25" x14ac:dyDescent="0.25">
      <c r="A7" s="103" t="s">
        <v>4</v>
      </c>
      <c r="B7" s="103"/>
      <c r="C7" s="8" t="s">
        <v>34</v>
      </c>
      <c r="D7" s="112"/>
      <c r="E7" s="112"/>
      <c r="F7" s="112"/>
      <c r="G7" s="112"/>
      <c r="H7" s="112"/>
      <c r="I7" s="112"/>
      <c r="J7" s="112"/>
      <c r="K7" s="112"/>
    </row>
    <row r="8" spans="1:25" x14ac:dyDescent="0.25">
      <c r="A8" s="103" t="s">
        <v>5</v>
      </c>
      <c r="B8" s="103"/>
      <c r="C8" t="s">
        <v>118</v>
      </c>
      <c r="D8" s="112"/>
      <c r="E8" s="112"/>
      <c r="F8" s="112"/>
      <c r="G8" s="112"/>
      <c r="H8" s="112"/>
      <c r="I8" s="112"/>
      <c r="J8" s="112"/>
      <c r="K8" s="112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</row>
    <row r="9" spans="1:25" ht="15.75" customHeight="1" thickBot="1" x14ac:dyDescent="0.3">
      <c r="A9" s="70"/>
      <c r="B9" s="70"/>
      <c r="C9" s="70"/>
      <c r="D9" s="70"/>
      <c r="E9" s="70"/>
      <c r="F9" s="70"/>
      <c r="G9" s="70"/>
      <c r="H9" s="70"/>
      <c r="I9" s="113"/>
      <c r="J9" s="113"/>
      <c r="K9" s="113"/>
      <c r="L9" s="20"/>
      <c r="M9" s="24"/>
      <c r="N9" s="24"/>
      <c r="O9" s="24"/>
      <c r="P9" s="24"/>
      <c r="Q9" s="32"/>
      <c r="R9" s="32"/>
      <c r="S9" s="32"/>
      <c r="T9" s="32"/>
      <c r="U9" s="32"/>
      <c r="V9" s="32"/>
      <c r="W9" s="32"/>
      <c r="X9" s="32"/>
      <c r="Y9" s="32"/>
    </row>
    <row r="10" spans="1:25" ht="15" customHeight="1" x14ac:dyDescent="0.25">
      <c r="A10" s="76" t="s">
        <v>6</v>
      </c>
      <c r="B10" s="76" t="s">
        <v>7</v>
      </c>
      <c r="C10" s="76"/>
      <c r="D10" s="110" t="s">
        <v>26</v>
      </c>
      <c r="E10" s="110" t="s">
        <v>9</v>
      </c>
      <c r="F10" s="110"/>
      <c r="G10" s="110"/>
      <c r="H10" s="111" t="s">
        <v>10</v>
      </c>
      <c r="I10" s="122" t="s">
        <v>30</v>
      </c>
      <c r="J10" s="106" t="s">
        <v>31</v>
      </c>
      <c r="K10" s="104" t="s">
        <v>11</v>
      </c>
      <c r="L10" s="21"/>
      <c r="M10" s="24"/>
      <c r="N10" s="24"/>
      <c r="O10" s="24"/>
      <c r="P10" s="24"/>
      <c r="Q10" s="32"/>
      <c r="R10" s="32"/>
      <c r="S10" s="32"/>
      <c r="T10" s="32"/>
      <c r="U10" s="32"/>
      <c r="V10" s="32"/>
      <c r="W10" s="32"/>
      <c r="X10" s="32"/>
      <c r="Y10" s="32"/>
    </row>
    <row r="11" spans="1:25" ht="31.5" customHeight="1" x14ac:dyDescent="0.25">
      <c r="A11" s="76"/>
      <c r="B11" s="76"/>
      <c r="C11" s="76"/>
      <c r="D11" s="110"/>
      <c r="E11" s="67" t="s">
        <v>12</v>
      </c>
      <c r="F11" s="67" t="s">
        <v>13</v>
      </c>
      <c r="G11" s="67" t="s">
        <v>14</v>
      </c>
      <c r="H11" s="111"/>
      <c r="I11" s="123"/>
      <c r="J11" s="107"/>
      <c r="K11" s="105"/>
      <c r="L11" s="21"/>
      <c r="M11" s="24"/>
      <c r="N11" s="24"/>
      <c r="O11" s="24"/>
      <c r="P11" s="24"/>
      <c r="Q11" s="32"/>
      <c r="R11" s="32"/>
      <c r="S11" s="32"/>
      <c r="T11" s="32"/>
      <c r="U11" s="32"/>
      <c r="V11" s="32"/>
      <c r="W11" s="32"/>
      <c r="X11" s="32"/>
      <c r="Y11" s="32"/>
    </row>
    <row r="12" spans="1:25" ht="15" customHeight="1" x14ac:dyDescent="0.25">
      <c r="A12" s="65">
        <v>-1</v>
      </c>
      <c r="B12" s="79">
        <f>A12-1</f>
        <v>-2</v>
      </c>
      <c r="C12" s="79"/>
      <c r="D12" s="65">
        <f>B12-1</f>
        <v>-3</v>
      </c>
      <c r="E12" s="65">
        <f t="shared" ref="E12:K12" si="0">D12-1</f>
        <v>-4</v>
      </c>
      <c r="F12" s="65">
        <f t="shared" si="0"/>
        <v>-5</v>
      </c>
      <c r="G12" s="65">
        <f t="shared" si="0"/>
        <v>-6</v>
      </c>
      <c r="H12" s="65">
        <f t="shared" si="0"/>
        <v>-7</v>
      </c>
      <c r="I12" s="124">
        <f t="shared" si="0"/>
        <v>-8</v>
      </c>
      <c r="J12" s="2">
        <f t="shared" si="0"/>
        <v>-9</v>
      </c>
      <c r="K12" s="25">
        <f t="shared" si="0"/>
        <v>-10</v>
      </c>
      <c r="L12" s="21"/>
      <c r="M12" s="24"/>
      <c r="N12" s="24"/>
      <c r="O12" s="24"/>
      <c r="P12" s="24"/>
      <c r="Q12" s="32"/>
      <c r="R12" s="32"/>
      <c r="S12" s="32"/>
      <c r="T12" s="32"/>
      <c r="U12" s="32"/>
      <c r="V12" s="32"/>
      <c r="W12" s="32"/>
      <c r="X12" s="32"/>
      <c r="Y12" s="32"/>
    </row>
    <row r="13" spans="1:25" ht="15" customHeight="1" x14ac:dyDescent="0.25">
      <c r="A13" s="120" t="s">
        <v>120</v>
      </c>
      <c r="B13" s="120"/>
      <c r="C13" s="120"/>
      <c r="D13" s="120"/>
      <c r="E13" s="65"/>
      <c r="F13" s="65"/>
      <c r="G13" s="65"/>
      <c r="H13" s="65"/>
      <c r="I13" s="124"/>
      <c r="J13" s="62"/>
      <c r="K13" s="25"/>
      <c r="L13" s="21"/>
      <c r="M13" s="24"/>
      <c r="N13" s="24"/>
      <c r="O13" s="24"/>
      <c r="P13" s="24"/>
      <c r="Q13" s="32"/>
      <c r="R13" s="32"/>
      <c r="S13" s="32"/>
      <c r="T13" s="32"/>
      <c r="U13" s="32"/>
      <c r="V13" s="32"/>
      <c r="W13" s="32"/>
      <c r="X13" s="32"/>
      <c r="Y13" s="32"/>
    </row>
    <row r="14" spans="1:25" x14ac:dyDescent="0.25">
      <c r="A14" s="66">
        <v>1</v>
      </c>
      <c r="B14" s="78" t="s">
        <v>50</v>
      </c>
      <c r="C14" s="78"/>
      <c r="D14" s="47" t="s">
        <v>35</v>
      </c>
      <c r="E14" s="66">
        <v>1</v>
      </c>
      <c r="F14" s="66">
        <v>1</v>
      </c>
      <c r="G14" s="47">
        <f>F14/E14*100</f>
        <v>100</v>
      </c>
      <c r="H14" s="47">
        <v>100</v>
      </c>
      <c r="I14" s="125"/>
      <c r="J14" s="26">
        <f t="shared" ref="J14:J15" si="1">0.01*F14</f>
        <v>0.01</v>
      </c>
      <c r="K14" s="36"/>
      <c r="L14" s="21"/>
      <c r="M14" s="24"/>
      <c r="N14" s="24"/>
      <c r="O14" s="24"/>
      <c r="P14" s="24"/>
      <c r="Q14" s="32"/>
      <c r="R14" s="32"/>
      <c r="S14" s="32"/>
      <c r="T14" s="32"/>
      <c r="U14" s="32"/>
      <c r="V14" s="32"/>
      <c r="W14" s="32"/>
      <c r="X14" s="32"/>
      <c r="Y14" s="32"/>
    </row>
    <row r="15" spans="1:25" ht="15" customHeight="1" x14ac:dyDescent="0.25">
      <c r="A15" s="66">
        <v>2</v>
      </c>
      <c r="B15" s="78" t="s">
        <v>63</v>
      </c>
      <c r="C15" s="78"/>
      <c r="D15" s="47" t="s">
        <v>35</v>
      </c>
      <c r="E15" s="66">
        <v>9</v>
      </c>
      <c r="F15" s="66">
        <v>9</v>
      </c>
      <c r="G15" s="47">
        <f t="shared" ref="G15:G32" si="2">F15/E15*100</f>
        <v>100</v>
      </c>
      <c r="H15" s="47">
        <v>100</v>
      </c>
      <c r="I15" s="125"/>
      <c r="J15" s="26">
        <f t="shared" si="1"/>
        <v>0.09</v>
      </c>
      <c r="K15" s="36"/>
      <c r="L15" s="21"/>
      <c r="M15" s="24"/>
      <c r="N15" s="24"/>
      <c r="O15" s="24"/>
      <c r="P15" s="24"/>
      <c r="Q15" s="32"/>
      <c r="R15" s="32"/>
      <c r="S15" s="32"/>
      <c r="T15" s="32"/>
      <c r="U15" s="32"/>
      <c r="V15" s="32"/>
      <c r="W15" s="32"/>
      <c r="X15" s="32"/>
      <c r="Y15" s="32"/>
    </row>
    <row r="16" spans="1:25" ht="15" customHeight="1" x14ac:dyDescent="0.25">
      <c r="A16" s="66">
        <v>3</v>
      </c>
      <c r="B16" s="78" t="s">
        <v>124</v>
      </c>
      <c r="C16" s="78"/>
      <c r="D16" s="47" t="s">
        <v>55</v>
      </c>
      <c r="E16" s="66">
        <v>51</v>
      </c>
      <c r="F16" s="66">
        <v>51</v>
      </c>
      <c r="G16" s="47">
        <f t="shared" si="2"/>
        <v>100</v>
      </c>
      <c r="H16" s="47">
        <v>100</v>
      </c>
      <c r="I16" s="125"/>
      <c r="J16" s="26">
        <f>0.01*F16</f>
        <v>0.51</v>
      </c>
      <c r="K16" s="36"/>
      <c r="L16" s="21"/>
      <c r="M16" s="24"/>
      <c r="N16" s="24"/>
      <c r="O16" s="24"/>
      <c r="P16" s="24"/>
      <c r="Q16" s="32"/>
      <c r="R16" s="32"/>
      <c r="S16" s="32"/>
      <c r="T16" s="32"/>
      <c r="U16" s="32"/>
      <c r="V16" s="32"/>
      <c r="W16" s="32"/>
      <c r="X16" s="32"/>
      <c r="Y16" s="32"/>
    </row>
    <row r="17" spans="1:25" ht="15" customHeight="1" x14ac:dyDescent="0.25">
      <c r="A17" s="66">
        <v>4</v>
      </c>
      <c r="B17" s="78" t="s">
        <v>122</v>
      </c>
      <c r="C17" s="78"/>
      <c r="D17" s="47" t="s">
        <v>123</v>
      </c>
      <c r="E17" s="66">
        <v>1</v>
      </c>
      <c r="F17" s="66">
        <v>1</v>
      </c>
      <c r="G17" s="47">
        <f t="shared" si="2"/>
        <v>100</v>
      </c>
      <c r="H17" s="47">
        <v>100</v>
      </c>
      <c r="I17" s="125"/>
      <c r="J17" s="26">
        <f>0.36*F17</f>
        <v>0.36</v>
      </c>
      <c r="K17" s="36"/>
      <c r="L17" s="21"/>
      <c r="M17" s="24"/>
      <c r="N17" s="24"/>
      <c r="O17" s="24"/>
      <c r="P17" s="24"/>
      <c r="Q17" s="32"/>
      <c r="R17" s="32"/>
      <c r="S17" s="32"/>
      <c r="T17" s="32"/>
      <c r="U17" s="32"/>
      <c r="V17" s="32"/>
      <c r="W17" s="32"/>
      <c r="X17" s="32"/>
      <c r="Y17" s="32"/>
    </row>
    <row r="18" spans="1:25" ht="15" customHeight="1" x14ac:dyDescent="0.25">
      <c r="A18" s="66">
        <v>5</v>
      </c>
      <c r="B18" s="78" t="s">
        <v>125</v>
      </c>
      <c r="C18" s="78"/>
      <c r="D18" s="47" t="s">
        <v>35</v>
      </c>
      <c r="E18" s="66">
        <v>1</v>
      </c>
      <c r="F18" s="66">
        <v>1</v>
      </c>
      <c r="G18" s="47">
        <f t="shared" si="2"/>
        <v>100</v>
      </c>
      <c r="H18" s="47">
        <v>100</v>
      </c>
      <c r="I18" s="125"/>
      <c r="J18" s="26">
        <f>0.01*F18</f>
        <v>0.01</v>
      </c>
      <c r="K18" s="36"/>
      <c r="L18" s="21"/>
      <c r="M18" s="24"/>
      <c r="N18" s="24"/>
      <c r="O18" s="24"/>
      <c r="P18" s="24"/>
      <c r="Q18" s="32"/>
      <c r="R18" s="32"/>
      <c r="S18" s="32"/>
      <c r="T18" s="32"/>
      <c r="U18" s="32"/>
      <c r="V18" s="32"/>
      <c r="W18" s="32"/>
      <c r="X18" s="32"/>
      <c r="Y18" s="32"/>
    </row>
    <row r="19" spans="1:25" ht="15" customHeight="1" x14ac:dyDescent="0.25">
      <c r="A19" s="66">
        <v>6</v>
      </c>
      <c r="B19" s="78" t="s">
        <v>112</v>
      </c>
      <c r="C19" s="78"/>
      <c r="D19" s="47" t="s">
        <v>35</v>
      </c>
      <c r="E19" s="66">
        <v>1</v>
      </c>
      <c r="F19" s="66">
        <v>1</v>
      </c>
      <c r="G19" s="47">
        <f t="shared" ref="G19" si="3">F19/E19*100</f>
        <v>100</v>
      </c>
      <c r="H19" s="47">
        <v>100</v>
      </c>
      <c r="I19" s="125"/>
      <c r="J19" s="26">
        <f>0.01*F19</f>
        <v>0.01</v>
      </c>
      <c r="K19" s="36"/>
      <c r="L19" s="21"/>
      <c r="M19" s="24"/>
      <c r="N19" s="24"/>
      <c r="O19" s="24"/>
      <c r="P19" s="24"/>
      <c r="Q19" s="32"/>
      <c r="R19" s="32"/>
      <c r="S19" s="32"/>
      <c r="T19" s="32"/>
      <c r="U19" s="32"/>
      <c r="V19" s="32"/>
      <c r="W19" s="32"/>
      <c r="X19" s="32"/>
      <c r="Y19" s="32"/>
    </row>
    <row r="20" spans="1:25" ht="15" customHeight="1" x14ac:dyDescent="0.25">
      <c r="A20" s="66">
        <v>7</v>
      </c>
      <c r="B20" s="128" t="s">
        <v>100</v>
      </c>
      <c r="C20" s="128"/>
      <c r="D20" s="47" t="s">
        <v>35</v>
      </c>
      <c r="E20" s="66">
        <v>1</v>
      </c>
      <c r="F20" s="66">
        <v>1</v>
      </c>
      <c r="G20" s="47">
        <f t="shared" ref="G20:G21" si="4">F20/E20*100</f>
        <v>100</v>
      </c>
      <c r="H20" s="47">
        <v>100</v>
      </c>
      <c r="I20" s="125"/>
      <c r="J20" s="26">
        <f t="shared" ref="J20:J21" si="5">0.01*F20</f>
        <v>0.01</v>
      </c>
      <c r="K20" s="36"/>
      <c r="L20" s="21"/>
      <c r="M20" s="24"/>
      <c r="N20" s="24"/>
      <c r="O20" s="24"/>
      <c r="P20" s="24"/>
      <c r="Q20" s="32"/>
      <c r="R20" s="32"/>
      <c r="S20" s="32"/>
      <c r="T20" s="32"/>
      <c r="U20" s="32"/>
      <c r="V20" s="32"/>
      <c r="W20" s="32"/>
      <c r="X20" s="32"/>
      <c r="Y20" s="32"/>
    </row>
    <row r="21" spans="1:25" ht="15" customHeight="1" x14ac:dyDescent="0.25">
      <c r="A21" s="66">
        <v>8</v>
      </c>
      <c r="B21" s="78" t="s">
        <v>103</v>
      </c>
      <c r="C21" s="78"/>
      <c r="D21" s="47" t="s">
        <v>35</v>
      </c>
      <c r="E21" s="66">
        <v>1</v>
      </c>
      <c r="F21" s="66">
        <v>1</v>
      </c>
      <c r="G21" s="47">
        <f t="shared" si="4"/>
        <v>100</v>
      </c>
      <c r="H21" s="47">
        <v>100</v>
      </c>
      <c r="I21" s="125"/>
      <c r="J21" s="26">
        <f t="shared" si="5"/>
        <v>0.01</v>
      </c>
      <c r="K21" s="36"/>
      <c r="L21" s="21"/>
      <c r="M21" s="24"/>
      <c r="N21" s="24"/>
      <c r="O21" s="24"/>
      <c r="P21" s="24"/>
      <c r="Q21" s="32"/>
      <c r="R21" s="32"/>
      <c r="S21" s="32"/>
      <c r="T21" s="32"/>
      <c r="U21" s="32"/>
      <c r="V21" s="32"/>
      <c r="W21" s="32"/>
      <c r="X21" s="32"/>
      <c r="Y21" s="32"/>
    </row>
    <row r="22" spans="1:25" ht="15" customHeight="1" x14ac:dyDescent="0.25">
      <c r="A22" s="66">
        <v>9</v>
      </c>
      <c r="B22" s="78" t="s">
        <v>64</v>
      </c>
      <c r="C22" s="78"/>
      <c r="D22" s="47" t="s">
        <v>35</v>
      </c>
      <c r="E22" s="66">
        <v>1</v>
      </c>
      <c r="F22" s="66">
        <v>1</v>
      </c>
      <c r="G22" s="47">
        <f t="shared" si="2"/>
        <v>100</v>
      </c>
      <c r="H22" s="47">
        <v>100</v>
      </c>
      <c r="I22" s="125"/>
      <c r="J22" s="26">
        <f>0.01*F22</f>
        <v>0.01</v>
      </c>
      <c r="K22" s="36"/>
      <c r="L22" s="21"/>
      <c r="M22" s="24"/>
      <c r="N22" s="24"/>
      <c r="O22" s="24"/>
      <c r="P22" s="24"/>
      <c r="Q22" s="32"/>
      <c r="R22" s="32"/>
      <c r="S22" s="32"/>
      <c r="T22" s="32"/>
      <c r="U22" s="32"/>
      <c r="V22" s="32"/>
      <c r="W22" s="32"/>
      <c r="X22" s="32"/>
      <c r="Y22" s="32"/>
    </row>
    <row r="23" spans="1:25" x14ac:dyDescent="0.25">
      <c r="A23" s="120" t="s">
        <v>121</v>
      </c>
      <c r="B23" s="120"/>
      <c r="C23" s="120"/>
      <c r="D23" s="120"/>
      <c r="E23" s="120"/>
      <c r="F23" s="120"/>
      <c r="G23" s="120"/>
      <c r="H23" s="120"/>
      <c r="I23" s="126"/>
      <c r="J23" s="117">
        <f>SUM(J14:J22)</f>
        <v>1.02</v>
      </c>
      <c r="K23" s="101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</row>
    <row r="24" spans="1:25" x14ac:dyDescent="0.25">
      <c r="A24" s="15">
        <v>1</v>
      </c>
      <c r="B24" s="78" t="s">
        <v>129</v>
      </c>
      <c r="C24" s="78"/>
      <c r="D24" s="47" t="s">
        <v>35</v>
      </c>
      <c r="E24" s="15">
        <v>1</v>
      </c>
      <c r="F24" s="15">
        <v>1</v>
      </c>
      <c r="G24" s="15">
        <v>100</v>
      </c>
      <c r="H24" s="119"/>
      <c r="I24" s="125"/>
      <c r="J24" s="26"/>
      <c r="K24" s="101"/>
      <c r="L24" s="31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</row>
    <row r="25" spans="1:25" x14ac:dyDescent="0.25">
      <c r="A25" s="15">
        <v>2</v>
      </c>
      <c r="B25" s="78" t="s">
        <v>107</v>
      </c>
      <c r="C25" s="78"/>
      <c r="D25" s="47" t="s">
        <v>35</v>
      </c>
      <c r="E25" s="15">
        <v>1</v>
      </c>
      <c r="F25" s="15">
        <v>1</v>
      </c>
      <c r="G25" s="15">
        <v>100</v>
      </c>
      <c r="H25" s="119"/>
      <c r="I25" s="121"/>
      <c r="J25" s="118"/>
      <c r="K25" s="101"/>
      <c r="L25" s="31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</row>
    <row r="26" spans="1:25" x14ac:dyDescent="0.25">
      <c r="A26" s="15">
        <v>3</v>
      </c>
      <c r="B26" s="78" t="s">
        <v>130</v>
      </c>
      <c r="C26" s="78"/>
      <c r="D26" s="47" t="s">
        <v>35</v>
      </c>
      <c r="E26" s="15">
        <v>1</v>
      </c>
      <c r="F26" s="15">
        <v>1</v>
      </c>
      <c r="G26" s="15">
        <v>100</v>
      </c>
      <c r="H26" s="119"/>
      <c r="I26" s="121"/>
      <c r="J26" s="118"/>
      <c r="K26" s="101"/>
      <c r="L26" s="31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</row>
    <row r="27" spans="1:25" ht="29.25" customHeight="1" x14ac:dyDescent="0.25">
      <c r="A27" s="15">
        <v>4</v>
      </c>
      <c r="B27" s="78" t="s">
        <v>69</v>
      </c>
      <c r="C27" s="78"/>
      <c r="D27" s="47" t="s">
        <v>35</v>
      </c>
      <c r="E27" s="15">
        <v>1</v>
      </c>
      <c r="F27" s="15">
        <v>1</v>
      </c>
      <c r="G27" s="15">
        <v>100</v>
      </c>
      <c r="H27" s="119"/>
      <c r="I27" s="121"/>
      <c r="J27" s="118"/>
      <c r="K27" s="101"/>
      <c r="L27" s="31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</row>
    <row r="28" spans="1:25" x14ac:dyDescent="0.25">
      <c r="A28" s="15">
        <v>5</v>
      </c>
      <c r="B28" s="78" t="s">
        <v>131</v>
      </c>
      <c r="C28" s="78"/>
      <c r="D28" s="47" t="s">
        <v>35</v>
      </c>
      <c r="E28" s="15">
        <v>1</v>
      </c>
      <c r="F28" s="15">
        <v>1</v>
      </c>
      <c r="G28" s="15">
        <v>100</v>
      </c>
      <c r="H28" s="119"/>
      <c r="I28" s="121"/>
      <c r="J28" s="118"/>
      <c r="K28" s="101"/>
      <c r="L28" s="31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</row>
    <row r="29" spans="1:25" x14ac:dyDescent="0.25">
      <c r="A29" s="15">
        <v>6</v>
      </c>
      <c r="B29" s="78" t="s">
        <v>80</v>
      </c>
      <c r="C29" s="78"/>
      <c r="D29" s="47" t="s">
        <v>35</v>
      </c>
      <c r="E29" s="15">
        <v>1</v>
      </c>
      <c r="F29" s="15">
        <v>1</v>
      </c>
      <c r="G29" s="15">
        <v>100</v>
      </c>
      <c r="H29" s="119"/>
      <c r="I29" s="121"/>
      <c r="J29" s="118"/>
      <c r="K29" s="101"/>
      <c r="L29" s="31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</row>
    <row r="30" spans="1:25" x14ac:dyDescent="0.25">
      <c r="A30" s="15">
        <v>7</v>
      </c>
      <c r="B30" s="78" t="s">
        <v>74</v>
      </c>
      <c r="C30" s="78"/>
      <c r="D30" s="47" t="s">
        <v>35</v>
      </c>
      <c r="E30" s="15">
        <v>1</v>
      </c>
      <c r="F30" s="15">
        <v>1</v>
      </c>
      <c r="G30" s="15">
        <v>100</v>
      </c>
      <c r="H30" s="119"/>
      <c r="I30" s="121"/>
      <c r="J30" s="118"/>
      <c r="K30" s="101"/>
      <c r="L30" s="31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</row>
    <row r="31" spans="1:25" x14ac:dyDescent="0.25">
      <c r="A31" s="15">
        <v>8</v>
      </c>
      <c r="B31" s="78" t="s">
        <v>84</v>
      </c>
      <c r="C31" s="78"/>
      <c r="D31" s="47" t="s">
        <v>35</v>
      </c>
      <c r="E31" s="15">
        <v>1</v>
      </c>
      <c r="F31" s="15">
        <v>1</v>
      </c>
      <c r="G31" s="15">
        <v>100</v>
      </c>
      <c r="H31" s="119"/>
      <c r="I31" s="121"/>
      <c r="J31" s="118"/>
      <c r="K31" s="101"/>
      <c r="L31" s="31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</row>
    <row r="32" spans="1:25" ht="15" customHeight="1" x14ac:dyDescent="0.25">
      <c r="A32" s="15">
        <v>9</v>
      </c>
      <c r="B32" s="78" t="s">
        <v>126</v>
      </c>
      <c r="C32" s="78"/>
      <c r="D32" s="47" t="s">
        <v>35</v>
      </c>
      <c r="E32" s="15">
        <v>1</v>
      </c>
      <c r="F32" s="15">
        <v>1</v>
      </c>
      <c r="G32" s="15">
        <v>100</v>
      </c>
      <c r="H32" s="47"/>
      <c r="I32" s="121"/>
      <c r="J32" s="118"/>
      <c r="K32" s="101"/>
      <c r="L32" s="21"/>
      <c r="M32" s="24"/>
      <c r="N32" s="24"/>
      <c r="O32" s="24"/>
      <c r="P32" s="24"/>
      <c r="Q32" s="32"/>
      <c r="R32" s="32"/>
      <c r="S32" s="32"/>
      <c r="T32" s="32"/>
      <c r="U32" s="32"/>
      <c r="V32" s="32"/>
      <c r="W32" s="32"/>
      <c r="X32" s="32"/>
      <c r="Y32" s="32"/>
    </row>
    <row r="33" spans="1:24" x14ac:dyDescent="0.25">
      <c r="A33" s="129" t="s">
        <v>19</v>
      </c>
      <c r="B33" s="129"/>
      <c r="C33" s="129"/>
      <c r="D33" s="129"/>
      <c r="E33" s="129"/>
      <c r="F33" s="129"/>
      <c r="G33" s="130">
        <f>AVERAGE(G14:G22)</f>
        <v>100</v>
      </c>
      <c r="H33" s="130">
        <f>AVERAGE(H14:H22)</f>
        <v>100</v>
      </c>
      <c r="I33" s="125"/>
      <c r="J33" s="108"/>
      <c r="K33" s="101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</row>
    <row r="34" spans="1:24" ht="15.75" thickBot="1" x14ac:dyDescent="0.3">
      <c r="A34" s="129" t="s">
        <v>20</v>
      </c>
      <c r="B34" s="129"/>
      <c r="C34" s="129"/>
      <c r="D34" s="129"/>
      <c r="E34" s="129"/>
      <c r="F34" s="129"/>
      <c r="G34" s="131">
        <f>AVERAGE(G33:H33)</f>
        <v>100</v>
      </c>
      <c r="H34" s="131"/>
      <c r="I34" s="127"/>
      <c r="J34" s="109"/>
      <c r="K34" s="102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</row>
    <row r="35" spans="1:24" x14ac:dyDescent="0.25"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</row>
    <row r="36" spans="1:24" x14ac:dyDescent="0.25">
      <c r="B36" s="116" t="s">
        <v>15</v>
      </c>
      <c r="C36" s="116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</row>
    <row r="37" spans="1:24" x14ac:dyDescent="0.25">
      <c r="B37" s="103" t="s">
        <v>119</v>
      </c>
      <c r="C37" s="103"/>
    </row>
    <row r="39" spans="1:24" x14ac:dyDescent="0.25">
      <c r="A39" s="4"/>
      <c r="B39" s="70" t="s">
        <v>16</v>
      </c>
      <c r="C39" s="70"/>
      <c r="D39" s="4"/>
      <c r="E39" s="70" t="s">
        <v>17</v>
      </c>
      <c r="F39" s="70"/>
      <c r="G39" s="70"/>
    </row>
    <row r="40" spans="1:24" x14ac:dyDescent="0.25">
      <c r="A40" s="4"/>
      <c r="B40" s="70" t="s">
        <v>39</v>
      </c>
      <c r="C40" s="70"/>
      <c r="D40" s="4"/>
      <c r="E40" s="35" t="s">
        <v>40</v>
      </c>
      <c r="F40" s="4"/>
      <c r="G40" s="4"/>
    </row>
    <row r="41" spans="1:24" x14ac:dyDescent="0.25">
      <c r="A41" s="4"/>
      <c r="B41" s="4"/>
      <c r="C41" s="5"/>
      <c r="D41" s="4"/>
      <c r="E41" s="4"/>
      <c r="F41" s="4"/>
      <c r="G41" s="4"/>
    </row>
    <row r="42" spans="1:24" x14ac:dyDescent="0.25">
      <c r="A42" s="4"/>
      <c r="B42" s="4"/>
      <c r="D42" s="4"/>
      <c r="E42" s="4"/>
      <c r="G42" s="4"/>
    </row>
    <row r="43" spans="1:24" x14ac:dyDescent="0.25">
      <c r="A43" s="4"/>
      <c r="B43" s="71" t="s">
        <v>36</v>
      </c>
      <c r="C43" s="71"/>
      <c r="D43" s="4"/>
      <c r="E43" s="68" t="s">
        <v>43</v>
      </c>
      <c r="F43" s="68"/>
      <c r="G43" s="68"/>
    </row>
    <row r="44" spans="1:24" x14ac:dyDescent="0.25">
      <c r="A44" s="4"/>
      <c r="B44" s="72" t="s">
        <v>117</v>
      </c>
      <c r="C44" s="72"/>
      <c r="D44" s="4"/>
      <c r="E44" s="69" t="s">
        <v>38</v>
      </c>
      <c r="F44" s="69"/>
      <c r="G44" s="69"/>
    </row>
  </sheetData>
  <mergeCells count="55">
    <mergeCell ref="B32:C32"/>
    <mergeCell ref="B16:C16"/>
    <mergeCell ref="B24:C24"/>
    <mergeCell ref="B25:C25"/>
    <mergeCell ref="B19:C19"/>
    <mergeCell ref="B26:C26"/>
    <mergeCell ref="B27:C27"/>
    <mergeCell ref="B21:C21"/>
    <mergeCell ref="B20:C20"/>
    <mergeCell ref="B31:C31"/>
    <mergeCell ref="B28:C28"/>
    <mergeCell ref="B29:C29"/>
    <mergeCell ref="B30:C30"/>
    <mergeCell ref="B22:C22"/>
    <mergeCell ref="B18:C18"/>
    <mergeCell ref="A13:D13"/>
    <mergeCell ref="A23:D23"/>
    <mergeCell ref="E23:H23"/>
    <mergeCell ref="E43:G43"/>
    <mergeCell ref="E44:G44"/>
    <mergeCell ref="B36:C36"/>
    <mergeCell ref="B37:C37"/>
    <mergeCell ref="B44:C44"/>
    <mergeCell ref="B43:C43"/>
    <mergeCell ref="B39:C39"/>
    <mergeCell ref="B40:C40"/>
    <mergeCell ref="E39:G39"/>
    <mergeCell ref="B17:C17"/>
    <mergeCell ref="H2:I2"/>
    <mergeCell ref="A10:A11"/>
    <mergeCell ref="B10:C11"/>
    <mergeCell ref="D10:D11"/>
    <mergeCell ref="E10:G10"/>
    <mergeCell ref="H10:H11"/>
    <mergeCell ref="A4:K4"/>
    <mergeCell ref="D5:K9"/>
    <mergeCell ref="A9:C9"/>
    <mergeCell ref="A3:K3"/>
    <mergeCell ref="A2:G2"/>
    <mergeCell ref="J2:K2"/>
    <mergeCell ref="B15:C15"/>
    <mergeCell ref="K23:K34"/>
    <mergeCell ref="A5:B5"/>
    <mergeCell ref="A6:B6"/>
    <mergeCell ref="A7:B7"/>
    <mergeCell ref="A8:B8"/>
    <mergeCell ref="A33:F33"/>
    <mergeCell ref="A34:F34"/>
    <mergeCell ref="G34:H34"/>
    <mergeCell ref="B12:C12"/>
    <mergeCell ref="K10:K11"/>
    <mergeCell ref="I10:I11"/>
    <mergeCell ref="J10:J11"/>
    <mergeCell ref="J33:J34"/>
    <mergeCell ref="B14:C14"/>
  </mergeCells>
  <pageMargins left="0.7" right="0.22" top="0.32" bottom="0.24" header="0.2" footer="0.22"/>
  <pageSetup paperSize="9" scale="7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CKP-T Okt14</vt:lpstr>
      <vt:lpstr>LP Okt14</vt:lpstr>
      <vt:lpstr>CKP-R Okt14</vt:lpstr>
      <vt:lpstr>'CKP-R Okt14'!Print_Area</vt:lpstr>
      <vt:lpstr>'CKP-T Okt14'!Print_Area</vt:lpstr>
      <vt:lpstr>'LP Okt14'!Print_Area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Windows User</cp:lastModifiedBy>
  <cp:lastPrinted>2016-11-04T08:57:16Z</cp:lastPrinted>
  <dcterms:created xsi:type="dcterms:W3CDTF">2014-11-23T23:48:32Z</dcterms:created>
  <dcterms:modified xsi:type="dcterms:W3CDTF">2016-11-04T08:58:07Z</dcterms:modified>
</cp:coreProperties>
</file>