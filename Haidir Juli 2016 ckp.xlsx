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PS kerja\bps bontang\ckp\"/>
    </mc:Choice>
  </mc:AlternateContent>
  <bookViews>
    <workbookView xWindow="0" yWindow="0" windowWidth="20490" windowHeight="7155"/>
  </bookViews>
  <sheets>
    <sheet name="CKP-T Okt14" sheetId="1" r:id="rId1"/>
    <sheet name="LP Okt14" sheetId="3" r:id="rId2"/>
    <sheet name="CKP-R Okt14" sheetId="2" r:id="rId3"/>
  </sheets>
  <definedNames>
    <definedName name="_xlnm.Print_Area" localSheetId="2">'CKP-R Okt14'!$A$2:$K$30</definedName>
    <definedName name="_xlnm.Print_Area" localSheetId="0">'CKP-T Okt14'!$A$2:$I$26</definedName>
    <definedName name="_xlnm.Print_Area" localSheetId="1">'LP Okt14'!$A$1:$H$44</definedName>
  </definedNames>
  <calcPr calcId="152511"/>
</workbook>
</file>

<file path=xl/calcChain.xml><?xml version="1.0" encoding="utf-8"?>
<calcChain xmlns="http://schemas.openxmlformats.org/spreadsheetml/2006/main">
  <c r="J14" i="2" l="1"/>
  <c r="J15" i="2"/>
  <c r="G31" i="3"/>
  <c r="G30" i="3"/>
  <c r="G29" i="3"/>
  <c r="G28" i="3"/>
  <c r="G32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J13" i="2" l="1"/>
  <c r="J17" i="2" l="1"/>
  <c r="H18" i="2" l="1"/>
  <c r="B12" i="2" l="1"/>
  <c r="D12" i="2" s="1"/>
  <c r="E12" i="2" s="1"/>
  <c r="F12" i="2" s="1"/>
  <c r="G12" i="2" s="1"/>
  <c r="H12" i="2" s="1"/>
  <c r="I12" i="2" s="1"/>
  <c r="J12" i="2" s="1"/>
  <c r="K12" i="2" s="1"/>
  <c r="B11" i="1"/>
  <c r="D11" i="1" s="1"/>
  <c r="E11" i="1" s="1"/>
  <c r="F11" i="1" s="1"/>
  <c r="G11" i="1" s="1"/>
  <c r="H11" i="1" l="1"/>
  <c r="I11" i="1" s="1"/>
  <c r="G18" i="2"/>
  <c r="G19" i="2" s="1"/>
</calcChain>
</file>

<file path=xl/sharedStrings.xml><?xml version="1.0" encoding="utf-8"?>
<sst xmlns="http://schemas.openxmlformats.org/spreadsheetml/2006/main" count="158" uniqueCount="77">
  <si>
    <t>CKP-T</t>
  </si>
  <si>
    <t>Satuan Organisasi</t>
  </si>
  <si>
    <t>: BPS Kota Bontang</t>
  </si>
  <si>
    <t>Nama</t>
  </si>
  <si>
    <t>Jabatan</t>
  </si>
  <si>
    <t>Bulan</t>
  </si>
  <si>
    <t>No</t>
  </si>
  <si>
    <t>Uraian Kegiatan</t>
  </si>
  <si>
    <t xml:space="preserve">Satuan </t>
  </si>
  <si>
    <t>Indikator Kinerja</t>
  </si>
  <si>
    <t>Tingkat Kualitas                  (%)</t>
  </si>
  <si>
    <t>Ket</t>
  </si>
  <si>
    <t>Target *)</t>
  </si>
  <si>
    <t>Realisasi</t>
  </si>
  <si>
    <t>%</t>
  </si>
  <si>
    <t>Penilaian Kinerja</t>
  </si>
  <si>
    <t>Pejabat Penilai</t>
  </si>
  <si>
    <t>Pegawai Yang Dinilai</t>
  </si>
  <si>
    <t>CKP-R</t>
  </si>
  <si>
    <t>RATA-RATA</t>
  </si>
  <si>
    <t>CAPAIAN KINERJA PEGAWAI (CKP)</t>
  </si>
  <si>
    <t>LAPORAN PEKERJAAN BPS KOTA BONTANG</t>
  </si>
  <si>
    <t>Kota</t>
  </si>
  <si>
    <t>Subbag/Seksi</t>
  </si>
  <si>
    <t>Hari/Tanggal</t>
  </si>
  <si>
    <t>Pekerjaan yang dilaksanakan</t>
  </si>
  <si>
    <t>Satuan</t>
  </si>
  <si>
    <t>Target /Vol</t>
  </si>
  <si>
    <t>Absolut</t>
  </si>
  <si>
    <t>kegiatan</t>
  </si>
  <si>
    <t>Kode Butir Kegiatan</t>
  </si>
  <si>
    <t>Angka Kredit</t>
  </si>
  <si>
    <t>yel-yel pagi</t>
  </si>
  <si>
    <t>: Haidir Magribi</t>
  </si>
  <si>
    <t>: Integrasi Pengolahan dan Diseminasi Statistik</t>
  </si>
  <si>
    <t>Kegiatan</t>
  </si>
  <si>
    <t>Drs.H.Basiran Suwandi</t>
  </si>
  <si>
    <t>NIP. 196010051982031004</t>
  </si>
  <si>
    <t>NIP. 199310012016021001</t>
  </si>
  <si>
    <t>Kepala BPS Kota Bontang</t>
  </si>
  <si>
    <t>Seksi Integrasi Pengolahan dan Diseminasi Statistik</t>
  </si>
  <si>
    <t xml:space="preserve">Seksi Integrasi Pengolahan </t>
  </si>
  <si>
    <t>dan Diseminasi Statistik</t>
  </si>
  <si>
    <t>Haidir Magribi</t>
  </si>
  <si>
    <t>cek email IPDS dan BPS Bontang</t>
  </si>
  <si>
    <t>Jum'at</t>
  </si>
  <si>
    <t>Senin</t>
  </si>
  <si>
    <t>Selasa</t>
  </si>
  <si>
    <t>TARGET KINERJA PEGAWAI TAHUN 2016</t>
  </si>
  <si>
    <t>CAPAIAN KINERJA PEGAWAI TAHUN 2016</t>
  </si>
  <si>
    <t>Melayani permintaan data</t>
  </si>
  <si>
    <t>Tanggal: 1 Juni 2016</t>
  </si>
  <si>
    <t>Tanggal:</t>
  </si>
  <si>
    <t>Kesepakatan Kinerja</t>
  </si>
  <si>
    <t>Rabu</t>
  </si>
  <si>
    <t>Kamis</t>
  </si>
  <si>
    <t>Publikasi</t>
  </si>
  <si>
    <t>: Juli 2016</t>
  </si>
  <si>
    <t>18 Juni 2016</t>
  </si>
  <si>
    <t>Tanggal: 8 Agustus 2016</t>
  </si>
  <si>
    <t>Mengatur ulang mesin absen</t>
  </si>
  <si>
    <t>Melengkapi biodata untuk prajabatan</t>
  </si>
  <si>
    <t>Merekap absen tanggal 1 &amp; 11 juli 2016</t>
  </si>
  <si>
    <t>mengentri penerimaan dokumen SE2016 TU</t>
  </si>
  <si>
    <t>Blok Sensus</t>
  </si>
  <si>
    <t>tes kesehatan untuk prajabatan</t>
  </si>
  <si>
    <t>Mengganti tinta printer</t>
  </si>
  <si>
    <t>mengunggah publikasi Bontang Dalam Angka 2016 di website</t>
  </si>
  <si>
    <t>17-31 Juli 2016</t>
  </si>
  <si>
    <t>Diklat prajabatan Gol III</t>
  </si>
  <si>
    <t>Hari</t>
  </si>
  <si>
    <t>Mengunggah publikasi Bontang Dalam Angka 2016 di website</t>
  </si>
  <si>
    <t>Updating penerimaan dokumen SE2016 TU</t>
  </si>
  <si>
    <t>Blok</t>
  </si>
  <si>
    <t>Sertifikat</t>
  </si>
  <si>
    <t>1.C</t>
  </si>
  <si>
    <t>II.C2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</si>
</sst>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0_);\(0\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Segoe UI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2" fillId="0" borderId="0"/>
  </cellStyleXfs>
  <cellXfs count="132">
    <xf numFmtId="0" fontId="0" fillId="0" borderId="0" xfId="0"/>
    <xf numFmtId="0" fontId="4" fillId="0" borderId="0" xfId="0" applyFont="1" applyAlignment="1">
      <alignment horizontal="center"/>
    </xf>
    <xf numFmtId="16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0" xfId="0" applyFont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9" fontId="0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wrapText="1"/>
    </xf>
    <xf numFmtId="9" fontId="0" fillId="0" borderId="0" xfId="1" applyFont="1" applyAlignment="1">
      <alignment horizontal="center"/>
    </xf>
    <xf numFmtId="0" fontId="6" fillId="0" borderId="0" xfId="0" applyFont="1" applyAlignment="1">
      <alignment horizontal="left"/>
    </xf>
    <xf numFmtId="17" fontId="6" fillId="0" borderId="0" xfId="0" applyNumberFormat="1" applyFont="1" applyFill="1" applyAlignment="1">
      <alignment horizontal="left"/>
    </xf>
    <xf numFmtId="0" fontId="3" fillId="0" borderId="8" xfId="0" applyFont="1" applyBorder="1" applyAlignment="1">
      <alignment horizontal="center" vertical="center" wrapText="1"/>
    </xf>
    <xf numFmtId="9" fontId="3" fillId="0" borderId="8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6" fillId="0" borderId="8" xfId="0" applyFont="1" applyFill="1" applyBorder="1" applyAlignment="1">
      <alignment vertical="center" wrapText="1"/>
    </xf>
    <xf numFmtId="164" fontId="0" fillId="0" borderId="8" xfId="0" applyNumberFormat="1" applyFont="1" applyBorder="1" applyAlignment="1">
      <alignment horizontal="center" vertical="center"/>
    </xf>
    <xf numFmtId="9" fontId="6" fillId="0" borderId="8" xfId="1" applyFont="1" applyFill="1" applyBorder="1" applyAlignment="1">
      <alignment horizontal="center" vertical="center"/>
    </xf>
    <xf numFmtId="0" fontId="0" fillId="0" borderId="0" xfId="0" applyBorder="1"/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/>
    <xf numFmtId="0" fontId="0" fillId="0" borderId="8" xfId="0" applyBorder="1"/>
    <xf numFmtId="0" fontId="0" fillId="0" borderId="8" xfId="0" applyFont="1" applyBorder="1" applyAlignment="1">
      <alignment horizontal="center" vertical="center"/>
    </xf>
    <xf numFmtId="164" fontId="5" fillId="0" borderId="8" xfId="0" applyNumberFormat="1" applyFont="1" applyFill="1" applyBorder="1" applyAlignment="1">
      <alignment horizontal="center" vertical="center"/>
    </xf>
    <xf numFmtId="0" fontId="5" fillId="0" borderId="8" xfId="0" applyFont="1" applyFill="1" applyBorder="1"/>
    <xf numFmtId="0" fontId="0" fillId="0" borderId="0" xfId="0" applyBorder="1" applyAlignment="1"/>
    <xf numFmtId="164" fontId="0" fillId="0" borderId="19" xfId="0" applyNumberForma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0" fontId="0" fillId="0" borderId="27" xfId="0" applyBorder="1"/>
    <xf numFmtId="43" fontId="0" fillId="0" borderId="8" xfId="8" applyFont="1" applyBorder="1"/>
    <xf numFmtId="0" fontId="6" fillId="0" borderId="0" xfId="0" applyFont="1" applyFill="1" applyBorder="1" applyAlignment="1">
      <alignment horizontal="center" vertical="center"/>
    </xf>
    <xf numFmtId="164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 wrapText="1"/>
    </xf>
    <xf numFmtId="9" fontId="6" fillId="0" borderId="0" xfId="1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vertical="center"/>
    </xf>
    <xf numFmtId="0" fontId="6" fillId="0" borderId="4" xfId="0" applyFont="1" applyFill="1" applyBorder="1" applyAlignment="1">
      <alignment vertical="center" wrapText="1"/>
    </xf>
    <xf numFmtId="0" fontId="6" fillId="0" borderId="14" xfId="0" applyFont="1" applyFill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164" fontId="6" fillId="0" borderId="8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Border="1" applyAlignment="1">
      <alignment horizontal="left"/>
    </xf>
    <xf numFmtId="164" fontId="6" fillId="0" borderId="21" xfId="0" applyNumberFormat="1" applyFont="1" applyBorder="1" applyAlignment="1">
      <alignment vertical="center"/>
    </xf>
    <xf numFmtId="9" fontId="0" fillId="0" borderId="0" xfId="1" applyFont="1" applyAlignment="1">
      <alignment vertical="center"/>
    </xf>
    <xf numFmtId="0" fontId="6" fillId="0" borderId="21" xfId="0" applyNumberFormat="1" applyFont="1" applyBorder="1" applyAlignment="1">
      <alignment vertical="center"/>
    </xf>
    <xf numFmtId="0" fontId="0" fillId="0" borderId="0" xfId="0" applyBorder="1" applyAlignment="1">
      <alignment horizontal="left"/>
    </xf>
    <xf numFmtId="0" fontId="7" fillId="0" borderId="0" xfId="0" applyFont="1" applyAlignment="1">
      <alignment horizontal="center" vertical="center"/>
    </xf>
    <xf numFmtId="49" fontId="0" fillId="0" borderId="0" xfId="0" applyNumberFormat="1"/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164" fontId="6" fillId="0" borderId="0" xfId="0" applyNumberFormat="1" applyFont="1" applyBorder="1" applyAlignment="1">
      <alignment vertical="center"/>
    </xf>
    <xf numFmtId="2" fontId="0" fillId="0" borderId="0" xfId="0" applyNumberFormat="1" applyBorder="1" applyAlignment="1">
      <alignment horizontal="center"/>
    </xf>
    <xf numFmtId="164" fontId="6" fillId="0" borderId="8" xfId="0" applyNumberFormat="1" applyFont="1" applyBorder="1" applyAlignment="1">
      <alignment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9" fontId="7" fillId="0" borderId="0" xfId="1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0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 vertical="center" wrapText="1"/>
    </xf>
    <xf numFmtId="9" fontId="7" fillId="0" borderId="0" xfId="1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0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8" xfId="0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2" fontId="5" fillId="0" borderId="26" xfId="0" applyNumberFormat="1" applyFont="1" applyBorder="1" applyAlignment="1">
      <alignment horizontal="center" vertical="center"/>
    </xf>
    <xf numFmtId="2" fontId="5" fillId="0" borderId="25" xfId="0" applyNumberFormat="1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0" fillId="2" borderId="3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14" fontId="6" fillId="0" borderId="3" xfId="0" applyNumberFormat="1" applyFont="1" applyFill="1" applyBorder="1" applyAlignment="1">
      <alignment horizontal="center" vertical="center" wrapText="1"/>
    </xf>
    <xf numFmtId="14" fontId="6" fillId="0" borderId="13" xfId="0" applyNumberFormat="1" applyFont="1" applyFill="1" applyBorder="1" applyAlignment="1">
      <alignment horizontal="center" vertical="center" wrapText="1"/>
    </xf>
    <xf numFmtId="14" fontId="6" fillId="0" borderId="7" xfId="0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164" fontId="6" fillId="0" borderId="30" xfId="0" applyNumberFormat="1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6" fillId="0" borderId="30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</cellXfs>
  <cellStyles count="12">
    <cellStyle name="Comma" xfId="8" builtinId="3"/>
    <cellStyle name="Comma [0] 2" xfId="10"/>
    <cellStyle name="Normal" xfId="0" builtinId="0"/>
    <cellStyle name="Normal 2" xfId="2"/>
    <cellStyle name="Normal 3" xfId="3"/>
    <cellStyle name="Normal 4" xfId="4"/>
    <cellStyle name="Normal 5" xfId="5"/>
    <cellStyle name="Normal 6" xfId="6"/>
    <cellStyle name="Normal 7" xfId="7"/>
    <cellStyle name="Normal 8" xfId="11"/>
    <cellStyle name="Normal 8 2" xfId="9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view="pageBreakPreview" topLeftCell="A21" zoomScaleNormal="100" zoomScaleSheetLayoutView="100" workbookViewId="0">
      <selection activeCell="N15" sqref="N15"/>
    </sheetView>
  </sheetViews>
  <sheetFormatPr defaultRowHeight="15" x14ac:dyDescent="0.25"/>
  <cols>
    <col min="1" max="1" width="4.7109375" customWidth="1"/>
    <col min="2" max="2" width="13.28515625" customWidth="1"/>
    <col min="3" max="3" width="43.140625" bestFit="1" customWidth="1"/>
    <col min="4" max="4" width="13.85546875" bestFit="1" customWidth="1"/>
    <col min="5" max="6" width="8.7109375" bestFit="1" customWidth="1"/>
    <col min="7" max="7" width="4.7109375" bestFit="1" customWidth="1"/>
    <col min="8" max="8" width="8.140625" customWidth="1"/>
    <col min="9" max="9" width="10.140625" customWidth="1"/>
  </cols>
  <sheetData>
    <row r="1" spans="1:9" ht="15.75" thickBot="1" x14ac:dyDescent="0.3"/>
    <row r="2" spans="1:9" ht="15.75" thickBot="1" x14ac:dyDescent="0.3">
      <c r="H2" s="78" t="s">
        <v>0</v>
      </c>
      <c r="I2" s="79"/>
    </row>
    <row r="3" spans="1:9" ht="18.75" x14ac:dyDescent="0.3">
      <c r="A3" s="80" t="s">
        <v>48</v>
      </c>
      <c r="B3" s="80"/>
      <c r="C3" s="80"/>
      <c r="D3" s="80"/>
      <c r="E3" s="80"/>
      <c r="F3" s="80"/>
      <c r="G3" s="80"/>
      <c r="H3" s="80"/>
      <c r="I3" s="80"/>
    </row>
    <row r="4" spans="1:9" ht="18.75" x14ac:dyDescent="0.3">
      <c r="A4" s="1"/>
      <c r="B4" s="1"/>
      <c r="C4" s="1"/>
      <c r="D4" s="1"/>
      <c r="E4" s="1"/>
      <c r="F4" s="1"/>
      <c r="G4" s="1"/>
      <c r="H4" s="1"/>
      <c r="I4" s="1"/>
    </row>
    <row r="5" spans="1:9" x14ac:dyDescent="0.25">
      <c r="A5" t="s">
        <v>1</v>
      </c>
      <c r="C5" t="s">
        <v>2</v>
      </c>
    </row>
    <row r="6" spans="1:9" x14ac:dyDescent="0.25">
      <c r="A6" t="s">
        <v>3</v>
      </c>
      <c r="C6" s="12" t="s">
        <v>33</v>
      </c>
    </row>
    <row r="7" spans="1:9" x14ac:dyDescent="0.25">
      <c r="A7" t="s">
        <v>4</v>
      </c>
      <c r="C7" s="12" t="s">
        <v>34</v>
      </c>
    </row>
    <row r="8" spans="1:9" x14ac:dyDescent="0.25">
      <c r="A8" t="s">
        <v>5</v>
      </c>
      <c r="C8" t="s">
        <v>57</v>
      </c>
    </row>
    <row r="9" spans="1:9" x14ac:dyDescent="0.25">
      <c r="A9" s="81" t="s">
        <v>6</v>
      </c>
      <c r="B9" s="81" t="s">
        <v>7</v>
      </c>
      <c r="C9" s="81"/>
      <c r="D9" s="81" t="s">
        <v>8</v>
      </c>
      <c r="E9" s="81" t="s">
        <v>9</v>
      </c>
      <c r="F9" s="81"/>
      <c r="G9" s="81"/>
      <c r="H9" s="82" t="s">
        <v>10</v>
      </c>
      <c r="I9" s="81" t="s">
        <v>11</v>
      </c>
    </row>
    <row r="10" spans="1:9" x14ac:dyDescent="0.25">
      <c r="A10" s="81"/>
      <c r="B10" s="81"/>
      <c r="C10" s="81"/>
      <c r="D10" s="81"/>
      <c r="E10" s="56" t="s">
        <v>12</v>
      </c>
      <c r="F10" s="56" t="s">
        <v>13</v>
      </c>
      <c r="G10" s="56" t="s">
        <v>14</v>
      </c>
      <c r="H10" s="82"/>
      <c r="I10" s="81"/>
    </row>
    <row r="11" spans="1:9" x14ac:dyDescent="0.25">
      <c r="A11" s="55">
        <v>-1</v>
      </c>
      <c r="B11" s="83">
        <f>A11-1</f>
        <v>-2</v>
      </c>
      <c r="C11" s="83"/>
      <c r="D11" s="55">
        <f>B11-1</f>
        <v>-3</v>
      </c>
      <c r="E11" s="62">
        <f>D11-1</f>
        <v>-4</v>
      </c>
      <c r="F11" s="62">
        <f>E11-1</f>
        <v>-5</v>
      </c>
      <c r="G11" s="62">
        <f>F11-1</f>
        <v>-6</v>
      </c>
      <c r="H11" s="62">
        <f>G11-1</f>
        <v>-7</v>
      </c>
      <c r="I11" s="62">
        <f>H11-1</f>
        <v>-8</v>
      </c>
    </row>
    <row r="12" spans="1:9" ht="15" customHeight="1" x14ac:dyDescent="0.25">
      <c r="A12" s="63">
        <v>1</v>
      </c>
      <c r="B12" s="72" t="s">
        <v>50</v>
      </c>
      <c r="C12" s="72"/>
      <c r="D12" s="61" t="s">
        <v>35</v>
      </c>
      <c r="E12" s="63">
        <v>1</v>
      </c>
      <c r="F12" s="63"/>
      <c r="G12" s="61"/>
      <c r="H12" s="61"/>
      <c r="I12" s="130"/>
    </row>
    <row r="13" spans="1:9" ht="15" customHeight="1" x14ac:dyDescent="0.25">
      <c r="A13" s="63">
        <v>2</v>
      </c>
      <c r="B13" s="72" t="s">
        <v>72</v>
      </c>
      <c r="C13" s="72"/>
      <c r="D13" s="61" t="s">
        <v>73</v>
      </c>
      <c r="E13" s="63">
        <v>101</v>
      </c>
      <c r="F13" s="63"/>
      <c r="G13" s="61"/>
      <c r="H13" s="61"/>
      <c r="I13" s="130"/>
    </row>
    <row r="14" spans="1:9" ht="15" customHeight="1" x14ac:dyDescent="0.25">
      <c r="A14" s="63">
        <v>3</v>
      </c>
      <c r="B14" s="72" t="s">
        <v>71</v>
      </c>
      <c r="C14" s="72"/>
      <c r="D14" s="61" t="s">
        <v>56</v>
      </c>
      <c r="E14" s="63">
        <v>1</v>
      </c>
      <c r="F14" s="63"/>
      <c r="G14" s="61"/>
      <c r="H14" s="61"/>
      <c r="I14" s="130"/>
    </row>
    <row r="15" spans="1:9" ht="15" customHeight="1" x14ac:dyDescent="0.25">
      <c r="A15" s="63">
        <v>4</v>
      </c>
      <c r="B15" s="72" t="s">
        <v>69</v>
      </c>
      <c r="C15" s="72"/>
      <c r="D15" s="61" t="s">
        <v>74</v>
      </c>
      <c r="E15" s="63">
        <v>1</v>
      </c>
      <c r="F15" s="63"/>
      <c r="G15" s="61"/>
      <c r="H15" s="61"/>
      <c r="I15" s="130"/>
    </row>
    <row r="16" spans="1:9" ht="15" customHeight="1" x14ac:dyDescent="0.25">
      <c r="A16" s="57"/>
      <c r="B16" s="58"/>
      <c r="C16" s="58"/>
      <c r="D16" s="59"/>
      <c r="E16" s="57"/>
      <c r="F16" s="57"/>
      <c r="G16" s="59"/>
      <c r="H16" s="60"/>
      <c r="I16" s="41"/>
    </row>
    <row r="17" spans="1:9" ht="15" customHeight="1" x14ac:dyDescent="0.25">
      <c r="B17" s="5" t="s">
        <v>53</v>
      </c>
    </row>
    <row r="18" spans="1:9" x14ac:dyDescent="0.25">
      <c r="B18" t="s">
        <v>52</v>
      </c>
      <c r="C18" s="54" t="s">
        <v>58</v>
      </c>
    </row>
    <row r="20" spans="1:9" x14ac:dyDescent="0.25">
      <c r="A20" s="6"/>
      <c r="B20" s="75" t="s">
        <v>16</v>
      </c>
      <c r="C20" s="75"/>
      <c r="D20" s="6"/>
      <c r="F20" s="75" t="s">
        <v>17</v>
      </c>
      <c r="G20" s="75"/>
      <c r="H20" s="75"/>
    </row>
    <row r="21" spans="1:9" x14ac:dyDescent="0.25">
      <c r="A21" s="6"/>
      <c r="B21" s="75" t="s">
        <v>39</v>
      </c>
      <c r="C21" s="75"/>
      <c r="D21" s="75" t="s">
        <v>40</v>
      </c>
      <c r="E21" s="75"/>
      <c r="F21" s="75"/>
      <c r="G21" s="75"/>
      <c r="H21" s="75"/>
      <c r="I21" s="75"/>
    </row>
    <row r="22" spans="1:9" x14ac:dyDescent="0.25">
      <c r="A22" s="6"/>
      <c r="B22" s="17"/>
      <c r="C22" s="17"/>
      <c r="D22" s="6"/>
      <c r="E22" s="6"/>
      <c r="F22" s="9"/>
      <c r="G22" s="8"/>
      <c r="H22" s="16"/>
    </row>
    <row r="23" spans="1:9" x14ac:dyDescent="0.25">
      <c r="A23" s="6"/>
      <c r="B23" s="6"/>
      <c r="C23" s="7"/>
      <c r="D23" s="6"/>
      <c r="E23" s="6"/>
      <c r="F23" s="9"/>
      <c r="G23" s="8"/>
      <c r="H23" s="16"/>
    </row>
    <row r="24" spans="1:9" x14ac:dyDescent="0.25">
      <c r="A24" s="6"/>
      <c r="B24" s="6"/>
      <c r="D24" s="6"/>
      <c r="E24" s="6"/>
      <c r="F24" s="9"/>
      <c r="G24" s="8"/>
      <c r="H24" s="16"/>
    </row>
    <row r="25" spans="1:9" x14ac:dyDescent="0.25">
      <c r="A25" s="6"/>
      <c r="B25" s="76" t="s">
        <v>36</v>
      </c>
      <c r="C25" s="76"/>
      <c r="D25" s="6"/>
      <c r="E25" s="6"/>
      <c r="F25" s="73" t="s">
        <v>43</v>
      </c>
      <c r="G25" s="73"/>
      <c r="H25" s="73"/>
    </row>
    <row r="26" spans="1:9" ht="15" customHeight="1" x14ac:dyDescent="0.25">
      <c r="A26" s="6"/>
      <c r="B26" s="77" t="s">
        <v>37</v>
      </c>
      <c r="C26" s="77"/>
      <c r="D26" s="6"/>
      <c r="E26" s="6"/>
      <c r="F26" s="74" t="s">
        <v>38</v>
      </c>
      <c r="G26" s="74"/>
      <c r="H26" s="74"/>
    </row>
  </sheetData>
  <mergeCells count="21">
    <mergeCell ref="B13:C13"/>
    <mergeCell ref="B15:C15"/>
    <mergeCell ref="B11:C11"/>
    <mergeCell ref="B12:C12"/>
    <mergeCell ref="B14:C14"/>
    <mergeCell ref="H2:I2"/>
    <mergeCell ref="A3:I3"/>
    <mergeCell ref="A9:A10"/>
    <mergeCell ref="B9:C10"/>
    <mergeCell ref="D9:D10"/>
    <mergeCell ref="E9:G9"/>
    <mergeCell ref="H9:H10"/>
    <mergeCell ref="I9:I10"/>
    <mergeCell ref="F25:H25"/>
    <mergeCell ref="F26:H26"/>
    <mergeCell ref="B20:C20"/>
    <mergeCell ref="B21:C21"/>
    <mergeCell ref="B25:C25"/>
    <mergeCell ref="B26:C26"/>
    <mergeCell ref="D21:I21"/>
    <mergeCell ref="F20:H20"/>
  </mergeCells>
  <printOptions horizontalCentered="1"/>
  <pageMargins left="0.70866141732283472" right="0.43307086614173229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view="pageBreakPreview" topLeftCell="A2" zoomScale="80" zoomScaleNormal="100" zoomScaleSheetLayoutView="80" workbookViewId="0">
      <selection activeCell="C30" sqref="C30"/>
    </sheetView>
  </sheetViews>
  <sheetFormatPr defaultRowHeight="15" x14ac:dyDescent="0.25"/>
  <cols>
    <col min="1" max="2" width="13" customWidth="1"/>
    <col min="3" max="3" width="49.28515625" bestFit="1" customWidth="1"/>
    <col min="4" max="8" width="13" customWidth="1"/>
  </cols>
  <sheetData>
    <row r="1" spans="1:8" ht="15.75" x14ac:dyDescent="0.25">
      <c r="A1" s="47"/>
      <c r="B1" s="84" t="s">
        <v>21</v>
      </c>
      <c r="C1" s="84"/>
      <c r="D1" s="84"/>
      <c r="E1" s="84"/>
      <c r="F1" s="84"/>
      <c r="G1" s="84"/>
      <c r="H1" s="84"/>
    </row>
    <row r="2" spans="1:8" x14ac:dyDescent="0.25">
      <c r="A2" s="47"/>
      <c r="B2" s="22"/>
      <c r="C2" s="10"/>
      <c r="D2" s="10"/>
      <c r="E2" s="9"/>
      <c r="F2" s="9"/>
      <c r="G2" s="11"/>
    </row>
    <row r="3" spans="1:8" x14ac:dyDescent="0.25">
      <c r="A3" s="47"/>
      <c r="B3" s="12" t="s">
        <v>22</v>
      </c>
      <c r="C3" t="s">
        <v>2</v>
      </c>
      <c r="D3" s="12"/>
      <c r="E3" s="9"/>
      <c r="F3" s="9"/>
      <c r="G3" s="11"/>
    </row>
    <row r="4" spans="1:8" x14ac:dyDescent="0.25">
      <c r="A4" s="47"/>
      <c r="B4" s="12" t="s">
        <v>3</v>
      </c>
      <c r="C4" s="12" t="s">
        <v>33</v>
      </c>
      <c r="D4" s="12"/>
      <c r="E4" s="9"/>
      <c r="F4" s="9"/>
      <c r="G4" s="11"/>
    </row>
    <row r="5" spans="1:8" ht="15" customHeight="1" x14ac:dyDescent="0.25">
      <c r="A5" s="47"/>
      <c r="B5" s="12" t="s">
        <v>23</v>
      </c>
      <c r="C5" s="12" t="s">
        <v>34</v>
      </c>
      <c r="D5" s="12"/>
      <c r="E5" s="9"/>
      <c r="F5" s="9"/>
      <c r="G5" s="11"/>
    </row>
    <row r="6" spans="1:8" x14ac:dyDescent="0.25">
      <c r="A6" s="47"/>
      <c r="B6" s="12" t="s">
        <v>5</v>
      </c>
      <c r="C6" s="13" t="s">
        <v>57</v>
      </c>
      <c r="D6" s="13"/>
      <c r="E6" s="9"/>
      <c r="F6" s="9"/>
      <c r="G6" s="11"/>
    </row>
    <row r="7" spans="1:8" x14ac:dyDescent="0.25">
      <c r="A7" s="47"/>
      <c r="B7" s="22"/>
      <c r="C7" s="10"/>
      <c r="D7" s="10"/>
      <c r="E7" s="9"/>
      <c r="F7" s="9"/>
      <c r="G7" s="11"/>
    </row>
    <row r="8" spans="1:8" x14ac:dyDescent="0.25">
      <c r="A8" s="124" t="s">
        <v>24</v>
      </c>
      <c r="B8" s="125"/>
      <c r="C8" s="122" t="s">
        <v>25</v>
      </c>
      <c r="D8" s="82" t="s">
        <v>26</v>
      </c>
      <c r="E8" s="82" t="s">
        <v>27</v>
      </c>
      <c r="F8" s="85" t="s">
        <v>13</v>
      </c>
      <c r="G8" s="85"/>
      <c r="H8" s="86" t="s">
        <v>11</v>
      </c>
    </row>
    <row r="9" spans="1:8" x14ac:dyDescent="0.25">
      <c r="A9" s="126"/>
      <c r="B9" s="127"/>
      <c r="C9" s="123"/>
      <c r="D9" s="82"/>
      <c r="E9" s="82"/>
      <c r="F9" s="14" t="s">
        <v>28</v>
      </c>
      <c r="G9" s="15" t="s">
        <v>14</v>
      </c>
      <c r="H9" s="86"/>
    </row>
    <row r="10" spans="1:8" x14ac:dyDescent="0.25">
      <c r="A10" s="120">
        <v>-1</v>
      </c>
      <c r="B10" s="121"/>
      <c r="C10" s="19">
        <v>-2</v>
      </c>
      <c r="D10" s="19">
        <v>-3</v>
      </c>
      <c r="E10" s="19">
        <v>-4</v>
      </c>
      <c r="F10" s="19">
        <v>-5</v>
      </c>
      <c r="G10" s="19">
        <v>-6</v>
      </c>
      <c r="H10" s="19">
        <v>-7</v>
      </c>
    </row>
    <row r="11" spans="1:8" x14ac:dyDescent="0.25">
      <c r="A11" s="117" t="s">
        <v>46</v>
      </c>
      <c r="B11" s="114">
        <v>42562</v>
      </c>
      <c r="C11" s="18" t="s">
        <v>44</v>
      </c>
      <c r="D11" s="69" t="s">
        <v>29</v>
      </c>
      <c r="E11" s="46">
        <v>1</v>
      </c>
      <c r="F11" s="46">
        <v>1</v>
      </c>
      <c r="G11" s="20">
        <f t="shared" ref="G11:G23" si="0">F11/E11</f>
        <v>1</v>
      </c>
      <c r="H11" s="31"/>
    </row>
    <row r="12" spans="1:8" x14ac:dyDescent="0.25">
      <c r="A12" s="118"/>
      <c r="B12" s="115"/>
      <c r="C12" s="18" t="s">
        <v>32</v>
      </c>
      <c r="D12" s="69" t="s">
        <v>29</v>
      </c>
      <c r="E12" s="46">
        <v>1</v>
      </c>
      <c r="F12" s="46">
        <v>1</v>
      </c>
      <c r="G12" s="20">
        <f t="shared" si="0"/>
        <v>1</v>
      </c>
      <c r="H12" s="31"/>
    </row>
    <row r="13" spans="1:8" x14ac:dyDescent="0.25">
      <c r="A13" s="118"/>
      <c r="B13" s="115"/>
      <c r="C13" s="18" t="s">
        <v>61</v>
      </c>
      <c r="D13" s="69" t="s">
        <v>29</v>
      </c>
      <c r="E13" s="46">
        <v>1</v>
      </c>
      <c r="F13" s="46">
        <v>1</v>
      </c>
      <c r="G13" s="20">
        <f t="shared" si="0"/>
        <v>1</v>
      </c>
      <c r="H13" s="31"/>
    </row>
    <row r="14" spans="1:8" x14ac:dyDescent="0.25">
      <c r="A14" s="118"/>
      <c r="B14" s="115"/>
      <c r="C14" s="18" t="s">
        <v>63</v>
      </c>
      <c r="D14" s="69" t="s">
        <v>64</v>
      </c>
      <c r="E14" s="46">
        <v>16</v>
      </c>
      <c r="F14" s="46">
        <v>16</v>
      </c>
      <c r="G14" s="20">
        <f t="shared" si="0"/>
        <v>1</v>
      </c>
      <c r="H14" s="31"/>
    </row>
    <row r="15" spans="1:8" x14ac:dyDescent="0.25">
      <c r="A15" s="119"/>
      <c r="B15" s="116"/>
      <c r="C15" s="18" t="s">
        <v>60</v>
      </c>
      <c r="D15" s="69" t="s">
        <v>29</v>
      </c>
      <c r="E15" s="46">
        <v>1</v>
      </c>
      <c r="F15" s="46">
        <v>1</v>
      </c>
      <c r="G15" s="20">
        <f t="shared" si="0"/>
        <v>1</v>
      </c>
      <c r="H15" s="31"/>
    </row>
    <row r="16" spans="1:8" x14ac:dyDescent="0.25">
      <c r="A16" s="117" t="s">
        <v>47</v>
      </c>
      <c r="B16" s="114">
        <v>42563</v>
      </c>
      <c r="C16" s="18" t="s">
        <v>44</v>
      </c>
      <c r="D16" s="69" t="s">
        <v>35</v>
      </c>
      <c r="E16" s="46">
        <v>1</v>
      </c>
      <c r="F16" s="46">
        <v>1</v>
      </c>
      <c r="G16" s="20">
        <f t="shared" si="0"/>
        <v>1</v>
      </c>
      <c r="H16" s="43"/>
    </row>
    <row r="17" spans="1:8" x14ac:dyDescent="0.25">
      <c r="A17" s="118"/>
      <c r="B17" s="115"/>
      <c r="C17" s="18" t="s">
        <v>32</v>
      </c>
      <c r="D17" s="69" t="s">
        <v>35</v>
      </c>
      <c r="E17" s="46">
        <v>1</v>
      </c>
      <c r="F17" s="46">
        <v>1</v>
      </c>
      <c r="G17" s="20">
        <f t="shared" si="0"/>
        <v>1</v>
      </c>
      <c r="H17" s="44"/>
    </row>
    <row r="18" spans="1:8" x14ac:dyDescent="0.25">
      <c r="A18" s="118"/>
      <c r="B18" s="115"/>
      <c r="C18" s="18" t="s">
        <v>63</v>
      </c>
      <c r="D18" s="69" t="s">
        <v>64</v>
      </c>
      <c r="E18" s="46">
        <v>52</v>
      </c>
      <c r="F18" s="46">
        <v>52</v>
      </c>
      <c r="G18" s="20">
        <f t="shared" si="0"/>
        <v>1</v>
      </c>
      <c r="H18" s="44"/>
    </row>
    <row r="19" spans="1:8" x14ac:dyDescent="0.25">
      <c r="A19" s="119"/>
      <c r="B19" s="116"/>
      <c r="C19" s="18" t="s">
        <v>62</v>
      </c>
      <c r="D19" s="69" t="s">
        <v>29</v>
      </c>
      <c r="E19" s="46">
        <v>1</v>
      </c>
      <c r="F19" s="46">
        <v>1</v>
      </c>
      <c r="G19" s="20">
        <f t="shared" si="0"/>
        <v>1</v>
      </c>
      <c r="H19" s="44"/>
    </row>
    <row r="20" spans="1:8" x14ac:dyDescent="0.25">
      <c r="A20" s="117" t="s">
        <v>54</v>
      </c>
      <c r="B20" s="114">
        <v>42564</v>
      </c>
      <c r="C20" s="18" t="s">
        <v>44</v>
      </c>
      <c r="D20" s="69" t="s">
        <v>29</v>
      </c>
      <c r="E20" s="46">
        <v>1</v>
      </c>
      <c r="F20" s="46">
        <v>1</v>
      </c>
      <c r="G20" s="20">
        <f>F20/E20</f>
        <v>1</v>
      </c>
      <c r="H20" s="31"/>
    </row>
    <row r="21" spans="1:8" x14ac:dyDescent="0.25">
      <c r="A21" s="118"/>
      <c r="B21" s="115"/>
      <c r="C21" s="18" t="s">
        <v>32</v>
      </c>
      <c r="D21" s="69" t="s">
        <v>29</v>
      </c>
      <c r="E21" s="46">
        <v>1</v>
      </c>
      <c r="F21" s="46">
        <v>1</v>
      </c>
      <c r="G21" s="20">
        <f t="shared" si="0"/>
        <v>1</v>
      </c>
      <c r="H21" s="31"/>
    </row>
    <row r="22" spans="1:8" x14ac:dyDescent="0.25">
      <c r="A22" s="119"/>
      <c r="B22" s="116"/>
      <c r="C22" s="18" t="s">
        <v>65</v>
      </c>
      <c r="D22" s="69" t="s">
        <v>29</v>
      </c>
      <c r="E22" s="46">
        <v>1</v>
      </c>
      <c r="F22" s="46">
        <v>1</v>
      </c>
      <c r="G22" s="20">
        <f>F22/E22</f>
        <v>1</v>
      </c>
      <c r="H22" s="31"/>
    </row>
    <row r="23" spans="1:8" x14ac:dyDescent="0.25">
      <c r="A23" s="117" t="s">
        <v>55</v>
      </c>
      <c r="B23" s="114">
        <v>42565</v>
      </c>
      <c r="C23" s="18" t="s">
        <v>44</v>
      </c>
      <c r="D23" s="69" t="s">
        <v>29</v>
      </c>
      <c r="E23" s="46">
        <v>1</v>
      </c>
      <c r="F23" s="46">
        <v>1</v>
      </c>
      <c r="G23" s="20">
        <f t="shared" si="0"/>
        <v>1</v>
      </c>
      <c r="H23" s="31"/>
    </row>
    <row r="24" spans="1:8" x14ac:dyDescent="0.25">
      <c r="A24" s="118"/>
      <c r="B24" s="115"/>
      <c r="C24" s="18" t="s">
        <v>32</v>
      </c>
      <c r="D24" s="69" t="s">
        <v>29</v>
      </c>
      <c r="E24" s="46">
        <v>1</v>
      </c>
      <c r="F24" s="46">
        <v>1</v>
      </c>
      <c r="G24" s="20">
        <f>F24/E24</f>
        <v>1</v>
      </c>
      <c r="H24" s="31"/>
    </row>
    <row r="25" spans="1:8" x14ac:dyDescent="0.25">
      <c r="A25" s="118"/>
      <c r="B25" s="115"/>
      <c r="C25" s="18" t="s">
        <v>50</v>
      </c>
      <c r="D25" s="69" t="s">
        <v>29</v>
      </c>
      <c r="E25" s="46">
        <v>1</v>
      </c>
      <c r="F25" s="46">
        <v>1</v>
      </c>
      <c r="G25" s="20">
        <f>F25/E25</f>
        <v>1</v>
      </c>
      <c r="H25" s="31"/>
    </row>
    <row r="26" spans="1:8" x14ac:dyDescent="0.25">
      <c r="A26" s="118"/>
      <c r="B26" s="115"/>
      <c r="C26" s="18" t="s">
        <v>66</v>
      </c>
      <c r="D26" s="69" t="s">
        <v>29</v>
      </c>
      <c r="E26" s="46">
        <v>1</v>
      </c>
      <c r="F26" s="46">
        <v>1</v>
      </c>
      <c r="G26" s="20">
        <f>F26/E26</f>
        <v>1</v>
      </c>
      <c r="H26" s="31"/>
    </row>
    <row r="27" spans="1:8" x14ac:dyDescent="0.25">
      <c r="A27" s="119"/>
      <c r="B27" s="116"/>
      <c r="C27" s="18" t="s">
        <v>63</v>
      </c>
      <c r="D27" s="69" t="s">
        <v>64</v>
      </c>
      <c r="E27" s="46">
        <v>14</v>
      </c>
      <c r="F27" s="46">
        <v>14</v>
      </c>
      <c r="G27" s="20">
        <f t="shared" ref="G27" si="1">F27/E27</f>
        <v>1</v>
      </c>
      <c r="H27" s="31"/>
    </row>
    <row r="28" spans="1:8" x14ac:dyDescent="0.25">
      <c r="A28" s="117" t="s">
        <v>45</v>
      </c>
      <c r="B28" s="114">
        <v>42566</v>
      </c>
      <c r="C28" s="18" t="s">
        <v>44</v>
      </c>
      <c r="D28" s="69" t="s">
        <v>29</v>
      </c>
      <c r="E28" s="46">
        <v>1</v>
      </c>
      <c r="F28" s="46">
        <v>1</v>
      </c>
      <c r="G28" s="20">
        <f>F28/E28</f>
        <v>1</v>
      </c>
      <c r="H28" s="30"/>
    </row>
    <row r="29" spans="1:8" x14ac:dyDescent="0.25">
      <c r="A29" s="118"/>
      <c r="B29" s="115"/>
      <c r="C29" s="18" t="s">
        <v>32</v>
      </c>
      <c r="D29" s="69" t="s">
        <v>29</v>
      </c>
      <c r="E29" s="46">
        <v>1</v>
      </c>
      <c r="F29" s="46">
        <v>1</v>
      </c>
      <c r="G29" s="20">
        <f>F29/E29</f>
        <v>1</v>
      </c>
      <c r="H29" s="30"/>
    </row>
    <row r="30" spans="1:8" ht="30" x14ac:dyDescent="0.25">
      <c r="A30" s="118"/>
      <c r="B30" s="115"/>
      <c r="C30" s="18" t="s">
        <v>67</v>
      </c>
      <c r="D30" s="69" t="s">
        <v>56</v>
      </c>
      <c r="E30" s="46">
        <v>1</v>
      </c>
      <c r="F30" s="46">
        <v>1</v>
      </c>
      <c r="G30" s="20">
        <f>F30/E30</f>
        <v>1</v>
      </c>
      <c r="H30" s="30"/>
    </row>
    <row r="31" spans="1:8" x14ac:dyDescent="0.25">
      <c r="A31" s="119"/>
      <c r="B31" s="116"/>
      <c r="C31" s="18" t="s">
        <v>63</v>
      </c>
      <c r="D31" s="69" t="s">
        <v>64</v>
      </c>
      <c r="E31" s="46">
        <v>19</v>
      </c>
      <c r="F31" s="46">
        <v>19</v>
      </c>
      <c r="G31" s="20">
        <f>F31/E31</f>
        <v>1</v>
      </c>
      <c r="H31" s="30"/>
    </row>
    <row r="32" spans="1:8" x14ac:dyDescent="0.25">
      <c r="A32" s="128" t="s">
        <v>68</v>
      </c>
      <c r="B32" s="129"/>
      <c r="C32" s="18" t="s">
        <v>69</v>
      </c>
      <c r="D32" s="69" t="s">
        <v>70</v>
      </c>
      <c r="E32" s="46">
        <v>14</v>
      </c>
      <c r="F32" s="46">
        <v>14</v>
      </c>
      <c r="G32" s="20">
        <f>F32/E32</f>
        <v>1</v>
      </c>
      <c r="H32" s="30"/>
    </row>
    <row r="33" spans="1:8" x14ac:dyDescent="0.25">
      <c r="A33" s="47"/>
      <c r="B33" s="37"/>
      <c r="C33" s="39"/>
      <c r="D33" s="37"/>
      <c r="E33" s="38"/>
      <c r="F33" s="38"/>
      <c r="G33" s="40"/>
      <c r="H33" s="37"/>
    </row>
    <row r="34" spans="1:8" x14ac:dyDescent="0.25">
      <c r="A34" s="47"/>
      <c r="B34" s="70" t="s">
        <v>15</v>
      </c>
      <c r="C34" s="37"/>
      <c r="D34" s="37"/>
      <c r="E34" s="37"/>
      <c r="F34" s="37"/>
      <c r="G34" s="37"/>
      <c r="H34" s="16"/>
    </row>
    <row r="35" spans="1:8" x14ac:dyDescent="0.25">
      <c r="A35" s="47"/>
      <c r="B35" s="71" t="s">
        <v>51</v>
      </c>
      <c r="C35" s="70"/>
      <c r="D35" s="16"/>
      <c r="E35" s="68"/>
      <c r="F35" s="9"/>
      <c r="G35" s="65"/>
      <c r="H35" s="16"/>
    </row>
    <row r="36" spans="1:8" x14ac:dyDescent="0.25">
      <c r="A36" s="47"/>
      <c r="B36" s="24"/>
      <c r="C36" s="71"/>
      <c r="D36" s="16"/>
      <c r="E36" s="68"/>
      <c r="F36" s="9"/>
      <c r="G36" s="65"/>
      <c r="H36" s="16"/>
    </row>
    <row r="37" spans="1:8" x14ac:dyDescent="0.25">
      <c r="A37" s="47"/>
      <c r="B37" s="23"/>
      <c r="C37" s="16"/>
      <c r="D37" s="16"/>
      <c r="E37" s="68"/>
      <c r="F37" s="9"/>
      <c r="G37" s="65"/>
    </row>
    <row r="38" spans="1:8" x14ac:dyDescent="0.25">
      <c r="A38" s="47"/>
      <c r="B38" s="52" t="s">
        <v>16</v>
      </c>
      <c r="C38" s="52"/>
      <c r="D38" s="52"/>
      <c r="H38" s="50"/>
    </row>
    <row r="39" spans="1:8" x14ac:dyDescent="0.25">
      <c r="A39" s="47"/>
      <c r="B39" s="66" t="s">
        <v>39</v>
      </c>
      <c r="C39" s="66"/>
      <c r="F39" s="75" t="s">
        <v>41</v>
      </c>
      <c r="G39" s="75"/>
      <c r="H39" s="75"/>
    </row>
    <row r="40" spans="1:8" x14ac:dyDescent="0.25">
      <c r="A40" s="47"/>
      <c r="B40" s="66"/>
      <c r="C40" s="66"/>
      <c r="E40" s="52"/>
      <c r="F40" s="75" t="s">
        <v>42</v>
      </c>
      <c r="G40" s="75"/>
      <c r="H40" s="75"/>
    </row>
    <row r="41" spans="1:8" x14ac:dyDescent="0.25">
      <c r="A41" s="47"/>
      <c r="B41" s="24"/>
      <c r="C41" s="66"/>
      <c r="D41" s="52"/>
      <c r="E41" s="52"/>
      <c r="F41" s="65"/>
      <c r="G41" s="65"/>
      <c r="H41" s="16"/>
    </row>
    <row r="42" spans="1:8" x14ac:dyDescent="0.25">
      <c r="A42" s="47"/>
      <c r="B42" s="23"/>
      <c r="C42" s="16"/>
      <c r="D42" s="16"/>
      <c r="E42" s="68"/>
      <c r="F42" s="9"/>
      <c r="G42" s="65"/>
      <c r="H42" s="64"/>
    </row>
    <row r="43" spans="1:8" x14ac:dyDescent="0.25">
      <c r="A43" s="47"/>
      <c r="B43" s="53" t="s">
        <v>36</v>
      </c>
      <c r="C43" s="67"/>
      <c r="D43" s="67"/>
      <c r="E43" s="67"/>
      <c r="F43" s="64"/>
      <c r="G43" s="64" t="s">
        <v>43</v>
      </c>
      <c r="H43" s="65"/>
    </row>
    <row r="44" spans="1:8" x14ac:dyDescent="0.25">
      <c r="A44" s="47"/>
      <c r="B44" s="16" t="s">
        <v>37</v>
      </c>
      <c r="C44" s="68"/>
      <c r="D44" s="68"/>
      <c r="E44" s="68"/>
      <c r="F44" s="65"/>
      <c r="G44" s="65" t="s">
        <v>38</v>
      </c>
    </row>
  </sheetData>
  <mergeCells count="21">
    <mergeCell ref="F39:H39"/>
    <mergeCell ref="F40:H40"/>
    <mergeCell ref="A28:A31"/>
    <mergeCell ref="B28:B31"/>
    <mergeCell ref="A32:B32"/>
    <mergeCell ref="A11:A15"/>
    <mergeCell ref="B11:B15"/>
    <mergeCell ref="B16:B19"/>
    <mergeCell ref="B23:B27"/>
    <mergeCell ref="A23:A27"/>
    <mergeCell ref="A16:A19"/>
    <mergeCell ref="B20:B22"/>
    <mergeCell ref="A20:A22"/>
    <mergeCell ref="A8:B9"/>
    <mergeCell ref="A10:B10"/>
    <mergeCell ref="C8:C9"/>
    <mergeCell ref="E8:E9"/>
    <mergeCell ref="B1:H1"/>
    <mergeCell ref="D8:D9"/>
    <mergeCell ref="F8:G8"/>
    <mergeCell ref="H8:H9"/>
  </mergeCells>
  <printOptions horizontalCentered="1"/>
  <pageMargins left="0.7" right="0.7" top="0.75" bottom="0.75" header="0.3" footer="0.3"/>
  <pageSetup paperSize="9" scale="62" fitToWidth="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9"/>
  <sheetViews>
    <sheetView view="pageBreakPreview" zoomScale="80" zoomScaleNormal="80" zoomScaleSheetLayoutView="80" workbookViewId="0">
      <selection activeCell="A13" sqref="A13:J16"/>
    </sheetView>
  </sheetViews>
  <sheetFormatPr defaultRowHeight="15" x14ac:dyDescent="0.25"/>
  <cols>
    <col min="1" max="1" width="4.7109375" customWidth="1"/>
    <col min="2" max="2" width="13.28515625" customWidth="1"/>
    <col min="3" max="3" width="49.28515625" bestFit="1" customWidth="1"/>
    <col min="4" max="4" width="15.7109375" bestFit="1" customWidth="1"/>
    <col min="5" max="5" width="9.5703125" bestFit="1" customWidth="1"/>
    <col min="6" max="6" width="10.5703125" bestFit="1" customWidth="1"/>
    <col min="7" max="7" width="7.140625" bestFit="1" customWidth="1"/>
    <col min="8" max="8" width="9.28515625" customWidth="1"/>
    <col min="9" max="9" width="10.140625" customWidth="1"/>
    <col min="11" max="14" width="9.140625" style="21"/>
    <col min="15" max="15" width="18.5703125" style="21" customWidth="1"/>
    <col min="20" max="20" width="10.28515625" bestFit="1" customWidth="1"/>
  </cols>
  <sheetData>
    <row r="1" spans="1:25" ht="15.75" thickBot="1" x14ac:dyDescent="0.3"/>
    <row r="2" spans="1:25" ht="15.75" thickBot="1" x14ac:dyDescent="0.3">
      <c r="H2" s="78" t="s">
        <v>18</v>
      </c>
      <c r="I2" s="79"/>
    </row>
    <row r="3" spans="1:25" ht="18.75" x14ac:dyDescent="0.3">
      <c r="A3" s="80" t="s">
        <v>49</v>
      </c>
      <c r="B3" s="80"/>
      <c r="C3" s="80"/>
      <c r="D3" s="80"/>
      <c r="E3" s="80"/>
      <c r="F3" s="80"/>
      <c r="G3" s="80"/>
      <c r="H3" s="80"/>
      <c r="I3" s="80"/>
    </row>
    <row r="4" spans="1:25" ht="18.75" x14ac:dyDescent="0.3">
      <c r="A4" s="1"/>
      <c r="B4" s="1"/>
      <c r="C4" s="1"/>
      <c r="D4" s="1"/>
      <c r="E4" s="1"/>
      <c r="F4" s="1"/>
      <c r="G4" s="1"/>
      <c r="H4" s="1"/>
      <c r="I4" s="1"/>
    </row>
    <row r="5" spans="1:25" x14ac:dyDescent="0.25">
      <c r="A5" s="89" t="s">
        <v>1</v>
      </c>
      <c r="B5" s="89"/>
      <c r="C5" t="s">
        <v>2</v>
      </c>
    </row>
    <row r="6" spans="1:25" x14ac:dyDescent="0.25">
      <c r="A6" s="89" t="s">
        <v>3</v>
      </c>
      <c r="B6" s="89"/>
      <c r="C6" s="12" t="s">
        <v>33</v>
      </c>
    </row>
    <row r="7" spans="1:25" x14ac:dyDescent="0.25">
      <c r="A7" s="89" t="s">
        <v>4</v>
      </c>
      <c r="B7" s="89"/>
      <c r="C7" s="12" t="s">
        <v>34</v>
      </c>
    </row>
    <row r="8" spans="1:25" x14ac:dyDescent="0.25">
      <c r="A8" s="89" t="s">
        <v>5</v>
      </c>
      <c r="B8" s="89"/>
      <c r="C8" t="s">
        <v>57</v>
      </c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</row>
    <row r="9" spans="1:25" ht="15.75" customHeight="1" thickBot="1" x14ac:dyDescent="0.3">
      <c r="L9" s="26"/>
      <c r="M9" s="32"/>
      <c r="N9" s="32"/>
      <c r="O9" s="32"/>
      <c r="P9" s="32"/>
      <c r="Q9" s="42"/>
      <c r="R9" s="42"/>
      <c r="S9" s="42"/>
      <c r="T9" s="42"/>
      <c r="U9" s="42"/>
      <c r="V9" s="42"/>
      <c r="W9" s="42"/>
      <c r="X9" s="42"/>
      <c r="Y9" s="42"/>
    </row>
    <row r="10" spans="1:25" ht="15" customHeight="1" x14ac:dyDescent="0.25">
      <c r="A10" s="106" t="s">
        <v>6</v>
      </c>
      <c r="B10" s="108" t="s">
        <v>7</v>
      </c>
      <c r="C10" s="108"/>
      <c r="D10" s="109" t="s">
        <v>26</v>
      </c>
      <c r="E10" s="109" t="s">
        <v>9</v>
      </c>
      <c r="F10" s="109"/>
      <c r="G10" s="109"/>
      <c r="H10" s="111" t="s">
        <v>10</v>
      </c>
      <c r="I10" s="100" t="s">
        <v>30</v>
      </c>
      <c r="J10" s="100" t="s">
        <v>31</v>
      </c>
      <c r="K10" s="98" t="s">
        <v>11</v>
      </c>
      <c r="L10" s="27"/>
      <c r="M10" s="32"/>
      <c r="N10" s="32"/>
      <c r="O10" s="32"/>
      <c r="P10" s="32"/>
      <c r="Q10" s="42"/>
      <c r="R10" s="42"/>
      <c r="S10" s="42"/>
      <c r="T10" s="42"/>
      <c r="U10" s="42"/>
      <c r="V10" s="42"/>
      <c r="W10" s="42"/>
      <c r="X10" s="42"/>
      <c r="Y10" s="42"/>
    </row>
    <row r="11" spans="1:25" ht="31.5" customHeight="1" x14ac:dyDescent="0.25">
      <c r="A11" s="107"/>
      <c r="B11" s="81"/>
      <c r="C11" s="81"/>
      <c r="D11" s="110"/>
      <c r="E11" s="29" t="s">
        <v>12</v>
      </c>
      <c r="F11" s="29" t="s">
        <v>13</v>
      </c>
      <c r="G11" s="29" t="s">
        <v>14</v>
      </c>
      <c r="H11" s="112"/>
      <c r="I11" s="101"/>
      <c r="J11" s="101"/>
      <c r="K11" s="99"/>
      <c r="L11" s="27"/>
      <c r="M11" s="32"/>
      <c r="N11" s="32"/>
      <c r="O11" s="32"/>
      <c r="P11" s="32"/>
      <c r="Q11" s="42"/>
      <c r="R11" s="42"/>
      <c r="S11" s="42"/>
      <c r="T11" s="42"/>
      <c r="U11" s="42"/>
      <c r="V11" s="42"/>
      <c r="W11" s="42"/>
      <c r="X11" s="42"/>
      <c r="Y11" s="42"/>
    </row>
    <row r="12" spans="1:25" ht="15" customHeight="1" x14ac:dyDescent="0.25">
      <c r="A12" s="33">
        <v>-1</v>
      </c>
      <c r="B12" s="83">
        <f>A12-1</f>
        <v>-2</v>
      </c>
      <c r="C12" s="83"/>
      <c r="D12" s="2">
        <f>B12-1</f>
        <v>-3</v>
      </c>
      <c r="E12" s="2">
        <f t="shared" ref="E12:K12" si="0">D12-1</f>
        <v>-4</v>
      </c>
      <c r="F12" s="2">
        <f t="shared" si="0"/>
        <v>-5</v>
      </c>
      <c r="G12" s="2">
        <f t="shared" si="0"/>
        <v>-6</v>
      </c>
      <c r="H12" s="2">
        <f t="shared" si="0"/>
        <v>-7</v>
      </c>
      <c r="I12" s="2">
        <f t="shared" si="0"/>
        <v>-8</v>
      </c>
      <c r="J12" s="2">
        <f t="shared" si="0"/>
        <v>-9</v>
      </c>
      <c r="K12" s="34">
        <f t="shared" si="0"/>
        <v>-10</v>
      </c>
      <c r="L12" s="27"/>
      <c r="M12" s="32"/>
      <c r="N12" s="32"/>
      <c r="O12" s="32"/>
      <c r="P12" s="32"/>
      <c r="Q12" s="42"/>
      <c r="R12" s="42"/>
      <c r="S12" s="42"/>
      <c r="T12" s="42"/>
      <c r="U12" s="42"/>
      <c r="V12" s="42"/>
      <c r="W12" s="42"/>
      <c r="X12" s="42"/>
      <c r="Y12" s="42"/>
    </row>
    <row r="13" spans="1:25" x14ac:dyDescent="0.25">
      <c r="A13" s="3">
        <v>1</v>
      </c>
      <c r="B13" s="104" t="s">
        <v>50</v>
      </c>
      <c r="C13" s="105"/>
      <c r="D13" s="49" t="s">
        <v>35</v>
      </c>
      <c r="E13" s="4">
        <v>1</v>
      </c>
      <c r="F13" s="4">
        <v>1</v>
      </c>
      <c r="G13" s="49">
        <v>100</v>
      </c>
      <c r="H13" s="49">
        <v>100</v>
      </c>
      <c r="I13" s="131"/>
      <c r="J13" s="51">
        <f>0.01*F13</f>
        <v>0.01</v>
      </c>
      <c r="K13" s="49"/>
      <c r="L13" s="27"/>
      <c r="M13" s="32"/>
      <c r="N13" s="32"/>
      <c r="O13" s="32"/>
      <c r="P13" s="32"/>
      <c r="Q13" s="42"/>
      <c r="R13" s="42"/>
      <c r="S13" s="42"/>
      <c r="T13" s="42"/>
      <c r="U13" s="42"/>
      <c r="V13" s="42"/>
      <c r="W13" s="42"/>
      <c r="X13" s="42"/>
      <c r="Y13" s="42"/>
    </row>
    <row r="14" spans="1:25" ht="15" customHeight="1" x14ac:dyDescent="0.25">
      <c r="A14" s="45">
        <v>2</v>
      </c>
      <c r="B14" s="104" t="s">
        <v>72</v>
      </c>
      <c r="C14" s="105"/>
      <c r="D14" s="49" t="s">
        <v>73</v>
      </c>
      <c r="E14" s="4">
        <v>101</v>
      </c>
      <c r="F14" s="4">
        <v>101</v>
      </c>
      <c r="G14" s="49">
        <v>100</v>
      </c>
      <c r="H14" s="49">
        <v>100</v>
      </c>
      <c r="I14" s="131" t="s">
        <v>76</v>
      </c>
      <c r="J14" s="51">
        <f>F14*0.002</f>
        <v>0.20200000000000001</v>
      </c>
      <c r="K14" s="49"/>
      <c r="L14" s="27"/>
      <c r="M14" s="32"/>
      <c r="N14" s="32"/>
      <c r="O14" s="32"/>
      <c r="P14" s="32"/>
      <c r="Q14" s="42"/>
      <c r="R14" s="42"/>
      <c r="S14" s="42"/>
      <c r="T14" s="42"/>
      <c r="U14" s="42"/>
      <c r="V14" s="42"/>
      <c r="W14" s="42"/>
      <c r="X14" s="42"/>
      <c r="Y14" s="42"/>
    </row>
    <row r="15" spans="1:25" ht="15" customHeight="1" x14ac:dyDescent="0.25">
      <c r="A15" s="3">
        <v>3</v>
      </c>
      <c r="B15" s="104" t="s">
        <v>71</v>
      </c>
      <c r="C15" s="105"/>
      <c r="D15" s="49" t="s">
        <v>56</v>
      </c>
      <c r="E15" s="4">
        <v>1</v>
      </c>
      <c r="F15" s="4">
        <v>1</v>
      </c>
      <c r="G15" s="49">
        <v>100</v>
      </c>
      <c r="H15" s="49">
        <v>100</v>
      </c>
      <c r="I15" s="131"/>
      <c r="J15" s="51">
        <f>F15*0.02</f>
        <v>0.02</v>
      </c>
      <c r="K15" s="49"/>
      <c r="L15" s="27"/>
      <c r="M15" s="32"/>
      <c r="N15" s="32"/>
      <c r="O15" s="32"/>
      <c r="P15" s="32"/>
      <c r="Q15" s="42"/>
      <c r="R15" s="42"/>
      <c r="S15" s="42"/>
      <c r="T15" s="42"/>
      <c r="U15" s="42"/>
      <c r="V15" s="42"/>
      <c r="W15" s="42"/>
      <c r="X15" s="42"/>
      <c r="Y15" s="42"/>
    </row>
    <row r="16" spans="1:25" ht="15" customHeight="1" x14ac:dyDescent="0.25">
      <c r="A16" s="45">
        <v>4</v>
      </c>
      <c r="B16" s="104" t="s">
        <v>69</v>
      </c>
      <c r="C16" s="105"/>
      <c r="D16" s="49" t="s">
        <v>74</v>
      </c>
      <c r="E16" s="4">
        <v>1</v>
      </c>
      <c r="F16" s="4">
        <v>1</v>
      </c>
      <c r="G16" s="49">
        <v>100</v>
      </c>
      <c r="H16" s="49">
        <v>100</v>
      </c>
      <c r="I16" s="131" t="s">
        <v>75</v>
      </c>
      <c r="J16" s="51">
        <v>1.5</v>
      </c>
      <c r="K16" s="49"/>
      <c r="L16" s="27"/>
      <c r="M16" s="32"/>
      <c r="N16" s="32"/>
      <c r="O16" s="32"/>
      <c r="P16" s="32"/>
      <c r="Q16" s="42"/>
      <c r="R16" s="42"/>
      <c r="S16" s="42"/>
      <c r="T16" s="42"/>
      <c r="U16" s="42"/>
      <c r="V16" s="42"/>
      <c r="W16" s="42"/>
      <c r="X16" s="42"/>
      <c r="Y16" s="42"/>
    </row>
    <row r="17" spans="1:24" x14ac:dyDescent="0.25">
      <c r="A17" s="90"/>
      <c r="B17" s="91"/>
      <c r="C17" s="91"/>
      <c r="D17" s="91"/>
      <c r="E17" s="91"/>
      <c r="F17" s="91"/>
      <c r="G17" s="91"/>
      <c r="H17" s="92"/>
      <c r="I17" s="28"/>
      <c r="J17" s="36">
        <f>SUM(J13:J16)</f>
        <v>1.732</v>
      </c>
      <c r="K17" s="87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</row>
    <row r="18" spans="1:24" x14ac:dyDescent="0.25">
      <c r="A18" s="90" t="s">
        <v>19</v>
      </c>
      <c r="B18" s="91"/>
      <c r="C18" s="91"/>
      <c r="D18" s="91"/>
      <c r="E18" s="91"/>
      <c r="F18" s="92"/>
      <c r="G18" s="25">
        <f>AVERAGE(G13:G16)</f>
        <v>100</v>
      </c>
      <c r="H18" s="25">
        <f>AVERAGE(H13:H16)</f>
        <v>100</v>
      </c>
      <c r="I18" s="28"/>
      <c r="J18" s="102"/>
      <c r="K18" s="87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</row>
    <row r="19" spans="1:24" ht="15.75" thickBot="1" x14ac:dyDescent="0.3">
      <c r="A19" s="93" t="s">
        <v>20</v>
      </c>
      <c r="B19" s="94"/>
      <c r="C19" s="94"/>
      <c r="D19" s="94"/>
      <c r="E19" s="94"/>
      <c r="F19" s="95"/>
      <c r="G19" s="96">
        <f>AVERAGE(G18:H18)</f>
        <v>100</v>
      </c>
      <c r="H19" s="97"/>
      <c r="I19" s="35"/>
      <c r="J19" s="103"/>
      <c r="K19" s="88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</row>
    <row r="20" spans="1:24" x14ac:dyDescent="0.25"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</row>
    <row r="21" spans="1:24" x14ac:dyDescent="0.25">
      <c r="B21" s="113" t="s">
        <v>15</v>
      </c>
      <c r="C21" s="113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</row>
    <row r="22" spans="1:24" x14ac:dyDescent="0.25">
      <c r="B22" s="89" t="s">
        <v>59</v>
      </c>
      <c r="C22" s="89"/>
    </row>
    <row r="24" spans="1:24" x14ac:dyDescent="0.25">
      <c r="A24" s="6"/>
      <c r="B24" s="75" t="s">
        <v>16</v>
      </c>
      <c r="C24" s="75"/>
      <c r="D24" s="6"/>
      <c r="E24" s="75" t="s">
        <v>17</v>
      </c>
      <c r="F24" s="75"/>
      <c r="G24" s="75"/>
    </row>
    <row r="25" spans="1:24" x14ac:dyDescent="0.25">
      <c r="A25" s="6"/>
      <c r="B25" s="75" t="s">
        <v>39</v>
      </c>
      <c r="C25" s="75"/>
      <c r="D25" s="6"/>
      <c r="E25" s="48" t="s">
        <v>40</v>
      </c>
      <c r="F25" s="6"/>
      <c r="G25" s="6"/>
    </row>
    <row r="26" spans="1:24" x14ac:dyDescent="0.25">
      <c r="A26" s="6"/>
      <c r="B26" s="6"/>
      <c r="C26" s="7"/>
      <c r="D26" s="6"/>
      <c r="E26" s="6"/>
      <c r="F26" s="6"/>
      <c r="G26" s="6"/>
    </row>
    <row r="27" spans="1:24" x14ac:dyDescent="0.25">
      <c r="A27" s="6"/>
      <c r="B27" s="6"/>
      <c r="D27" s="6"/>
      <c r="E27" s="6"/>
      <c r="G27" s="6"/>
    </row>
    <row r="28" spans="1:24" x14ac:dyDescent="0.25">
      <c r="A28" s="6"/>
      <c r="B28" s="76" t="s">
        <v>36</v>
      </c>
      <c r="C28" s="76"/>
      <c r="D28" s="6"/>
      <c r="E28" s="73" t="s">
        <v>43</v>
      </c>
      <c r="F28" s="73"/>
      <c r="G28" s="73"/>
    </row>
    <row r="29" spans="1:24" x14ac:dyDescent="0.25">
      <c r="A29" s="6"/>
      <c r="B29" s="77" t="s">
        <v>37</v>
      </c>
      <c r="C29" s="77"/>
      <c r="D29" s="6"/>
      <c r="E29" s="74" t="s">
        <v>38</v>
      </c>
      <c r="F29" s="74"/>
      <c r="G29" s="74"/>
    </row>
  </sheetData>
  <mergeCells count="34">
    <mergeCell ref="B14:C14"/>
    <mergeCell ref="E28:G28"/>
    <mergeCell ref="E29:G29"/>
    <mergeCell ref="B21:C21"/>
    <mergeCell ref="B22:C22"/>
    <mergeCell ref="B29:C29"/>
    <mergeCell ref="B28:C28"/>
    <mergeCell ref="B24:C24"/>
    <mergeCell ref="B25:C25"/>
    <mergeCell ref="E24:G24"/>
    <mergeCell ref="B15:C15"/>
    <mergeCell ref="B16:C16"/>
    <mergeCell ref="H2:I2"/>
    <mergeCell ref="A3:I3"/>
    <mergeCell ref="A10:A11"/>
    <mergeCell ref="B10:C11"/>
    <mergeCell ref="D10:D11"/>
    <mergeCell ref="E10:G10"/>
    <mergeCell ref="H10:H11"/>
    <mergeCell ref="K17:K19"/>
    <mergeCell ref="A5:B5"/>
    <mergeCell ref="A6:B6"/>
    <mergeCell ref="A7:B7"/>
    <mergeCell ref="A8:B8"/>
    <mergeCell ref="A17:H17"/>
    <mergeCell ref="A18:F18"/>
    <mergeCell ref="A19:F19"/>
    <mergeCell ref="G19:H19"/>
    <mergeCell ref="B12:C12"/>
    <mergeCell ref="K10:K11"/>
    <mergeCell ref="I10:I11"/>
    <mergeCell ref="J10:J11"/>
    <mergeCell ref="J18:J19"/>
    <mergeCell ref="B13:C13"/>
  </mergeCells>
  <pageMargins left="0.7" right="0.22" top="0.32" bottom="0.24" header="0.2" footer="0.22"/>
  <pageSetup paperSize="9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CKP-T Okt14</vt:lpstr>
      <vt:lpstr>LP Okt14</vt:lpstr>
      <vt:lpstr>CKP-R Okt14</vt:lpstr>
      <vt:lpstr>'CKP-R Okt14'!Print_Area</vt:lpstr>
      <vt:lpstr>'CKP-T Okt14'!Print_Area</vt:lpstr>
      <vt:lpstr>'LP Okt14'!Print_Area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Haidir Magribi</cp:lastModifiedBy>
  <cp:lastPrinted>2016-07-01T01:45:42Z</cp:lastPrinted>
  <dcterms:created xsi:type="dcterms:W3CDTF">2014-11-23T23:48:32Z</dcterms:created>
  <dcterms:modified xsi:type="dcterms:W3CDTF">2016-08-08T01:24:41Z</dcterms:modified>
</cp:coreProperties>
</file>