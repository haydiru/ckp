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BPS kerja\ckp\"/>
    </mc:Choice>
  </mc:AlternateContent>
  <bookViews>
    <workbookView xWindow="0" yWindow="0" windowWidth="20490" windowHeight="7155" firstSheet="1" activeTab="2"/>
  </bookViews>
  <sheets>
    <sheet name="penjelasan CKP" sheetId="18" state="hidden" r:id="rId1"/>
    <sheet name="daftar CKP-R" sheetId="9" r:id="rId2"/>
    <sheet name="daftar CKP-T" sheetId="19" r:id="rId3"/>
    <sheet name="Sheet1" sheetId="10" state="hidden" r:id="rId4"/>
  </sheets>
  <definedNames>
    <definedName name="_xlnm.Print_Area" localSheetId="2">'daftar CKP-T'!$A$1:$H$35</definedName>
    <definedName name="_xlnm.Print_Area" localSheetId="0">'penjelasan CKP'!$A$2:$E$63</definedName>
    <definedName name="_xlnm.Print_Titles" localSheetId="1">'daftar CKP-R'!$10:$12</definedName>
  </definedNames>
  <calcPr calcId="152511"/>
</workbook>
</file>

<file path=xl/calcChain.xml><?xml version="1.0" encoding="utf-8"?>
<calcChain xmlns="http://schemas.openxmlformats.org/spreadsheetml/2006/main">
  <c r="G26" i="19" l="1"/>
  <c r="G25" i="19"/>
  <c r="G24" i="19"/>
  <c r="G23" i="19"/>
  <c r="G22" i="19"/>
  <c r="G21" i="19"/>
  <c r="G20" i="19"/>
  <c r="G18" i="19"/>
  <c r="G17" i="19"/>
  <c r="G15" i="19"/>
  <c r="G16" i="19"/>
  <c r="G14" i="19"/>
  <c r="G13" i="19"/>
  <c r="B11" i="19"/>
  <c r="D11" i="19" s="1"/>
  <c r="E11" i="19" s="1"/>
  <c r="F11" i="19" s="1"/>
  <c r="G11" i="19" s="1"/>
  <c r="H11" i="19" s="1"/>
  <c r="G27" i="19" l="1"/>
  <c r="J30" i="9"/>
  <c r="J26" i="9" l="1"/>
  <c r="J27" i="9"/>
  <c r="J18" i="9"/>
  <c r="J15" i="9" l="1"/>
  <c r="J19" i="9"/>
  <c r="J14" i="9"/>
  <c r="J22" i="9"/>
  <c r="J23" i="9"/>
  <c r="J24" i="9"/>
  <c r="J25" i="9"/>
  <c r="J21" i="9"/>
  <c r="J17" i="9"/>
  <c r="J16" i="9"/>
  <c r="H31" i="9" l="1"/>
  <c r="G31" i="9" l="1"/>
  <c r="B15" i="10"/>
  <c r="B12" i="9"/>
  <c r="D12" i="9" s="1"/>
  <c r="E12" i="9" s="1"/>
  <c r="F12" i="9" s="1"/>
  <c r="G12" i="9" s="1"/>
  <c r="H12" i="9" s="1"/>
  <c r="I12" i="9" s="1"/>
  <c r="J12" i="9" s="1"/>
  <c r="K12" i="9" s="1"/>
  <c r="G32" i="9" l="1"/>
</calcChain>
</file>

<file path=xl/sharedStrings.xml><?xml version="1.0" encoding="utf-8"?>
<sst xmlns="http://schemas.openxmlformats.org/spreadsheetml/2006/main" count="263" uniqueCount="133">
  <si>
    <t>Nama</t>
  </si>
  <si>
    <t>No</t>
  </si>
  <si>
    <t>Uraian Kegiatan</t>
  </si>
  <si>
    <t xml:space="preserve">Satuan </t>
  </si>
  <si>
    <t>Realisasi</t>
  </si>
  <si>
    <t>%</t>
  </si>
  <si>
    <t>Pejabat Penilai</t>
  </si>
  <si>
    <t>Pegawai Yang Dinilai</t>
  </si>
  <si>
    <t>:</t>
  </si>
  <si>
    <t>PETUNJUK PENGISIAN CAPAIAN KINERJA PEGAWAI (CKP) TAHUN 2013</t>
  </si>
  <si>
    <t>Kol (1). No</t>
  </si>
  <si>
    <t>Kol (2). Uraian Kegiatan</t>
  </si>
  <si>
    <t xml:space="preserve">Kol (3). Satuan </t>
  </si>
  <si>
    <t>Kol (5) Realisasi</t>
  </si>
  <si>
    <t>Keterangan</t>
  </si>
  <si>
    <t xml:space="preserve">Jabatan </t>
  </si>
  <si>
    <t>Jabatan</t>
  </si>
  <si>
    <t>-</t>
  </si>
  <si>
    <t>Satuan organisasi</t>
  </si>
  <si>
    <t>Satuan Organisasi</t>
  </si>
  <si>
    <t>Periode</t>
  </si>
  <si>
    <t xml:space="preserve">Periode </t>
  </si>
  <si>
    <t xml:space="preserve">Kol (4). Target </t>
  </si>
  <si>
    <t>Contoh :</t>
  </si>
  <si>
    <t/>
  </si>
  <si>
    <t xml:space="preserve">Contoh : </t>
  </si>
  <si>
    <t>Pekerjaan yang memerlukan waktu penyelesaian lebih dari satu periode penilaian seperti penyusunan publikasi, maka pada uraian kegiatan dituliskan sesuai dengan target yang ditentukan.</t>
  </si>
  <si>
    <t xml:space="preserve">Untuk publikasi yang terdiri dari 5 bab, target penyelesaian 3 bulan yaitu pada bulan pertama bab 1 dan 2, bulan kedua bab 3, dan bulan ketiga bab 4 dan 5, maka penulisan kegiatan pada kol (2) untuk bulan kedua adalah : penyusunan publikasi bab 3 </t>
  </si>
  <si>
    <t>RATA-RATA</t>
  </si>
  <si>
    <t>CAPAIAN KINERJA PEGAWAI (CKP)</t>
  </si>
  <si>
    <t>Target</t>
  </si>
  <si>
    <t>Kuantitas</t>
  </si>
  <si>
    <t>Tingkat Kualitas                  (%)</t>
  </si>
  <si>
    <t>Kol (7) Tingkat Kualitas (%)</t>
  </si>
  <si>
    <t xml:space="preserve">Untuk pejabat struktural ,  isikan satuan organisasi eselon di atasnya </t>
  </si>
  <si>
    <t>Penilaian Kinerja</t>
  </si>
  <si>
    <t>Keterbandingan besarnya target antar pegawai baik pada jenjang jabatan yang sama maupun antar jenjang harus diperhatikan</t>
  </si>
  <si>
    <t>UTAMA</t>
  </si>
  <si>
    <t>Isikan nama pegawai yang dinilai</t>
  </si>
  <si>
    <t>Isikan nama  jabatan, yaitu jabatan struktural, fungsional tertentu atau fungsional umum (sesuai SK Jabatan atau SK penugasan)</t>
  </si>
  <si>
    <t>Isikan nomor urut kegiatan dari 1 s.d. terakhir, sesuai banyaknya kegiatan yang dilakukan selama periode penilaian</t>
  </si>
  <si>
    <t>Kegiatan utama adalah kegiatan yang sesuai dengan tugas dan fungsi satuan organisasi dan atau jenjang jabatan yang diduduki.</t>
  </si>
  <si>
    <t>Kadar, S.ST statistisi pertama, mengerjakan pekerjaan administrasi keuangan. Pekerjaan tersebut bukan merupakan kegiatan utama seorang statistisi pertama, sehingga pekerjaan tersebut dicantumkan pada uraian kegiatan tambahan</t>
  </si>
  <si>
    <t>Kadir fungsional umum, mengerjakan pekerjaan entry data ST2013. Pekerjaan tersebut bukan merupakan kegiatan utama seorang fungsional umum, sehingga pekerjaan tersebut dicantumkan pada uraian kegiatan tambahan</t>
  </si>
  <si>
    <t xml:space="preserve">Isikan jumlah output dari setiap kegiatan yang telah selesai dikerjakan pada periode penilaian.  </t>
  </si>
  <si>
    <t>Isikan catatan jika diperlukan</t>
  </si>
  <si>
    <t>Isikan nama dan tanda tangan pegawai yang dinilai</t>
  </si>
  <si>
    <t>Isikan nama dan tanda tangan atasan langsung dari pegawai yang dinilai</t>
  </si>
  <si>
    <t>Angka Kredit</t>
  </si>
  <si>
    <t>bayar</t>
  </si>
  <si>
    <t>absen betul</t>
  </si>
  <si>
    <t xml:space="preserve">spj </t>
  </si>
  <si>
    <t>hari</t>
  </si>
  <si>
    <t>verivikasi spj</t>
  </si>
  <si>
    <t>spm terbit</t>
  </si>
  <si>
    <t>kpn</t>
  </si>
  <si>
    <t>cair ke rek pusat</t>
  </si>
  <si>
    <t>transfer ke prop</t>
  </si>
  <si>
    <t>transfer ke tk 2</t>
  </si>
  <si>
    <t>transfer ke peg</t>
  </si>
  <si>
    <t>tgl</t>
  </si>
  <si>
    <t>penyelesaian</t>
  </si>
  <si>
    <t xml:space="preserve">Penentuan target pekerjaan disesuaikan dengan waktu penyelesaian per satuan output. </t>
  </si>
  <si>
    <t>Atasan langsung pejabat struktural adalah pejabat struktural setingkat lebih tinggi</t>
  </si>
  <si>
    <t>Atasan langsung dari pejabat fungsional Tingkat Terampil, Tingkat Ahli (Jenjang Pertama), dan fungsional umum adalah pejabat eselon IV</t>
  </si>
  <si>
    <t>Untuk pejabat fungsional tertentu yang diberikan penugasan pada jenjang di bawahnya maka satuan organisasi yang dimaksud merujuk jabatan pada SK penugasan</t>
  </si>
  <si>
    <t>Pada kondisi tertentu target dapat berubah dan penjelasannya diisikan pada kolom keterangan</t>
  </si>
  <si>
    <t>tabel</t>
  </si>
  <si>
    <t>Untuk pejabat fungsional (termasuk yang dengan SK Penugasan) Tingkat Ahli Jenjang Muda, isikan nama satuan organisasi eselon III</t>
  </si>
  <si>
    <t>Untuk pejabat fungsional (termasuk yang dengan SK Penugasan) Tingkat Ahli Jenjang Madya isikan nama satuan organisasi  eselon II</t>
  </si>
  <si>
    <t xml:space="preserve">Isikan tanggal 23 bulan sebelumnya sampai dengan tanggal 22 bulan yang bersangkutan. </t>
  </si>
  <si>
    <t>Contoh : Untuk CKP bulan Juni periode yang diisikan adalah tanggal 23 Mei - 22 Juni</t>
  </si>
  <si>
    <t>*)</t>
  </si>
  <si>
    <t>JUMLAH</t>
  </si>
  <si>
    <t>Isikan satuan organisasi yang sesuai dengan jabatan pegawai :</t>
  </si>
  <si>
    <t>Untuk pejabat fungsional (termasuk yang dengan SK Penugasan) Tingkat Terampil, Tingkat Ahli Jenjang Pertama, dan fungsional umum , isikan nama satuan organisasi eselon IV</t>
  </si>
  <si>
    <t xml:space="preserve">Isikan kegiatan yang menjadi tanggung jawab pegawai selama periode penilaian yang terdiri dari kegiatan utama dan kegiatan tambahan </t>
  </si>
  <si>
    <t>Isikan jumlah output dari setiap kegiatan yang harus diselesaikan pada periode penilaian. Target diisikan pada awal periode penilaian berdasarkan  beban kerja satuan organisasi dan  kesepakatan pegawai dengan atasan</t>
  </si>
  <si>
    <t>Atasan langsung dari pejabat fungsional tertentu yang diberikan penugasan pada jenjang di bawahnya merujuk jabatan pada SK penugasan</t>
  </si>
  <si>
    <r>
      <t xml:space="preserve">Kadar, S.ST dan Yanto, S.ST adalah statistisi pertama. Beban kerja untuk keduanya harus diberikan seimbang. Apabila Kadar, S.ST diberikan beban kerja pencacahan susenas sebanyak 32 responden selama satu bulan, maka Yanto, S.ST juga diberikan beban kerja pencacahan susenas sebanyak 32 responden dengan kondisi lapangan sama. Apabila Kadar, S.ST diberikan beban kerja pencacahan susenas sebanyak 32 responden selama satu bulan, sedangkan Yanto, S.ST hanya diberikan beban kerja pencacahan susenas sebanyak 16 responden maka Yanto harus diberikan pekerjaan lain </t>
    </r>
    <r>
      <rPr>
        <sz val="10"/>
        <rFont val="Segoe UI"/>
        <family val="2"/>
      </rPr>
      <t xml:space="preserve">yang setara dengan pencacahan susenas sebanyak 16 responden misalnya menyusun ringkasan eksekutif </t>
    </r>
  </si>
  <si>
    <t>Kadar, S.ST statistisi muda pada bidang statistik sosial diberi penugasan sebagai statistisi pertama maka nama satuan organisasinya adalah salah satu eselon IV di bidang tersebut</t>
  </si>
  <si>
    <t>Kadar, S.ST statistisi muda pada bidang statistik sosial diberi penugasan sebagai statistisi pertama maka atasan langsung dari Kadar, S.ST adalah pejabat eselon IV pada bidang statistik sosial</t>
  </si>
  <si>
    <t>Kol (8) Angka Kredit</t>
  </si>
  <si>
    <t>Kol (9). Keterangan</t>
  </si>
  <si>
    <r>
      <rPr>
        <sz val="10"/>
        <color indexed="10"/>
        <rFont val="Segoe UI"/>
        <family val="2"/>
      </rPr>
      <t>Untuk pejabat fungsional tertentu i</t>
    </r>
    <r>
      <rPr>
        <sz val="10"/>
        <rFont val="Segoe UI"/>
        <family val="2"/>
      </rPr>
      <t>sikan angka kredit yang akan dicapai berdasarkan target yang ditetapkan</t>
    </r>
  </si>
  <si>
    <r>
      <t xml:space="preserve">Isikan persentase tingkat kualitas dari setiap output yang dihasilkan berdasarkan standar </t>
    </r>
    <r>
      <rPr>
        <sz val="10"/>
        <color indexed="10"/>
        <rFont val="Segoe UI"/>
        <family val="2"/>
      </rPr>
      <t>kualitas</t>
    </r>
    <r>
      <rPr>
        <sz val="10"/>
        <rFont val="Segoe UI"/>
        <family val="2"/>
      </rPr>
      <t xml:space="preserve"> yang telah ditetapkan </t>
    </r>
    <r>
      <rPr>
        <sz val="10"/>
        <color indexed="10"/>
        <rFont val="Segoe UI"/>
        <family val="2"/>
      </rPr>
      <t xml:space="preserve">baik dalam buku Pedoman, Panduan, SOP maupun ketentuan internal satuan organisasi eselon II dan eselon III </t>
    </r>
    <r>
      <rPr>
        <sz val="10"/>
        <rFont val="Segoe UI"/>
        <family val="2"/>
      </rPr>
      <t>. Persentase tingkat kualitas diisi oleh atasan langsung</t>
    </r>
  </si>
  <si>
    <r>
      <t xml:space="preserve">Atasan langsung dari pejabat fungsional Tingkat Ahli (Jenjang Muda) adalah </t>
    </r>
    <r>
      <rPr>
        <sz val="10"/>
        <color indexed="10"/>
        <rFont val="Segoe UI"/>
        <family val="2"/>
      </rPr>
      <t xml:space="preserve">pejabat </t>
    </r>
    <r>
      <rPr>
        <sz val="10"/>
        <rFont val="Segoe UI"/>
        <family val="2"/>
      </rPr>
      <t>eselon III</t>
    </r>
  </si>
  <si>
    <r>
      <t xml:space="preserve">Atasan langsung dari pejabat fungsional Tingkat Ahli (Jenjang Madya) adalah </t>
    </r>
    <r>
      <rPr>
        <sz val="10"/>
        <color indexed="10"/>
        <rFont val="Segoe UI"/>
        <family val="2"/>
      </rPr>
      <t xml:space="preserve">pejabat </t>
    </r>
    <r>
      <rPr>
        <sz val="10"/>
        <rFont val="Segoe UI"/>
        <family val="2"/>
      </rPr>
      <t>eselon II</t>
    </r>
  </si>
  <si>
    <t xml:space="preserve">Kegiatan tambahan adalah kegiatan selain kegiatan utama yang berkaitan dengan tugas organisasi dan ditugaskan oleh atasan. </t>
  </si>
  <si>
    <t>Kegiatan yang belum direncanakan di awal periode tetapi masih dapat diselesaikan dalam periode yang bersangkutan,  tidak diisikan di daftar CKP tetapi di daftar TKP</t>
  </si>
  <si>
    <t>dokumen, tabel, naskah, SK, dsb</t>
  </si>
  <si>
    <t>Isikan jenis output yang dihasilkan dari setiap kegiatan yang dikerjakan pada periode penilaian.</t>
  </si>
  <si>
    <t>CKP-R</t>
  </si>
  <si>
    <t>Kode Butir Kegiatan</t>
  </si>
  <si>
    <t>:  Staf Seksi Statistik Penyiapan Kegiatan Tanaman Pangan</t>
  </si>
  <si>
    <t>Tabel</t>
  </si>
  <si>
    <t>CAPAIAN KINERJA PEGAWAI TAHUN 2016</t>
  </si>
  <si>
    <t>:  Haidir Magribi</t>
  </si>
  <si>
    <t>:  1 Februari 2016 - 29 Februari 2016</t>
  </si>
  <si>
    <t>Memeriksa tabel publikasi Produksi Tanaman Pangan (ASEM tahun 2015)</t>
  </si>
  <si>
    <t>NIP.19931001 201602 1 001</t>
  </si>
  <si>
    <t xml:space="preserve">  Haidir Magribi, SST</t>
  </si>
  <si>
    <t>Memeriksa tabel-tabel evaluasi rata-rata stok beras dan gabah dalam rangka Kajian Cadangan Beras  tahap 2 Nasional</t>
  </si>
  <si>
    <t>unit ter-update</t>
  </si>
  <si>
    <t>Mengikuti Rapat Evaluasi Percepatan 2015 dan Persiapan Percepatan 2016</t>
  </si>
  <si>
    <t>Memerikasa Tabel Untuk BRS Bulan Maret</t>
  </si>
  <si>
    <t>Memeriksa tabel percepatan Luas Panen Jagung Lokal di Lahan Bukan Sawah menurut provinsi dan kabupaten bulan Des 2015</t>
  </si>
  <si>
    <t>Memeriksa tabel percepatan Luas Tanam Padi Lokal di Lahan Sawah menurut provinsi dan kabupaten bulan Des 2015</t>
  </si>
  <si>
    <t>Memeriksa tabel percepatan Luas Panen Padi Lokal di Lahan Sawah + Bukan Sawah menurut provinsi dan kabupaten bulan Des 2015</t>
  </si>
  <si>
    <t>Memeriksa tabel percepatan Luas Tanam Kedelai SLPTT di Lahan Sawah + Bukan Sawah menurut provinsi dan kabupaten bulan Des 2015</t>
  </si>
  <si>
    <t>Memeriksa tabel percepatan Luas Panen Ubi Jalar(Total) di Lahan Sawah + Bukan Sawah menurut provinsi dan kabupaten bulan Des 2015</t>
  </si>
  <si>
    <t>Memeriksa tabel Luas Panen, Hasil Per Hektar dan Produksi thn 2011-2015 Perkomoditi menurut propinsi  di Indonesia  (hektar,Ku, Ton ) : Kedelai &amp; Kacang Tanah</t>
  </si>
  <si>
    <t>Mengolah Tabel Analisis Uji Beda Rata-rata dan Tabel perbandingan rata-rata untuk Laporan Pelaksanaan Survei Luas Panen dan Luas Lahan 2015</t>
  </si>
  <si>
    <t>Tambahan</t>
  </si>
  <si>
    <t>Menulis ulang laporan justifikasi setiap provinsi menurut komoditas padi sawah</t>
  </si>
  <si>
    <t>dokumen</t>
  </si>
  <si>
    <t>Memeriksa tabel-tabel evaluasi rata-rata stok beras dan gabah dalam rangka Kajian Cadangan Beras  tahap 1 Nasional</t>
  </si>
  <si>
    <t>NIP.19740609 199512 1 001</t>
  </si>
  <si>
    <t>Iswadi, S.Si, MNat Res Econ</t>
  </si>
  <si>
    <t>IIc.5b</t>
  </si>
  <si>
    <t>IIIa.1</t>
  </si>
  <si>
    <t>1.6</t>
  </si>
  <si>
    <t>Naskah</t>
  </si>
  <si>
    <t>IIa.6e</t>
  </si>
  <si>
    <t>Mengisi data calon responden survei dari FAO</t>
  </si>
  <si>
    <t>Mendesain Cover &amp; isi Struktur Ongkos Tanaman Padi &amp; Tanaman Palawija 2014</t>
  </si>
  <si>
    <t>Tanggal : 1 Maret  2016</t>
  </si>
  <si>
    <t>:  Statistisi Pelaksana Lanjutan</t>
  </si>
  <si>
    <t>CKP-T</t>
  </si>
  <si>
    <t>TARGET KINERJA PEGAWAI TAHUN 2013</t>
  </si>
  <si>
    <t>Target Kuantitas</t>
  </si>
  <si>
    <t>Kesepakatan Target</t>
  </si>
  <si>
    <t>Tanggal : 29 Januari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</si>
</sst>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164" formatCode="0_);\(0\)"/>
  </numFmts>
  <fonts count="12">
    <font>
      <sz val="11"/>
      <color theme="1"/>
      <name val="Calibri"/>
      <family val="2"/>
      <scheme val="minor"/>
    </font>
    <font>
      <b/>
      <sz val="14"/>
      <name val="Segoe UI"/>
      <family val="2"/>
    </font>
    <font>
      <sz val="10"/>
      <name val="Segoe UI"/>
      <family val="2"/>
    </font>
    <font>
      <b/>
      <sz val="10"/>
      <name val="Segoe UI"/>
      <family val="2"/>
    </font>
    <font>
      <b/>
      <sz val="12"/>
      <name val="Segoe UI"/>
      <family val="2"/>
    </font>
    <font>
      <i/>
      <sz val="10"/>
      <name val="Segoe UI"/>
      <family val="2"/>
    </font>
    <font>
      <sz val="10"/>
      <color indexed="10"/>
      <name val="Segoe UI"/>
      <family val="2"/>
    </font>
    <font>
      <b/>
      <sz val="16"/>
      <name val="Arrus Blk BT"/>
      <family val="1"/>
    </font>
    <font>
      <sz val="11"/>
      <color theme="1"/>
      <name val="Calibri"/>
      <family val="2"/>
      <scheme val="minor"/>
    </font>
    <font>
      <sz val="11"/>
      <color theme="1"/>
      <name val="Calibri"/>
      <family val="2"/>
      <charset val="1"/>
      <scheme val="minor"/>
    </font>
    <font>
      <sz val="10"/>
      <color theme="1"/>
      <name val="Segoe UI"/>
      <family val="2"/>
    </font>
    <font>
      <sz val="10"/>
      <color rgb="FFFF0000"/>
      <name val="Segoe UI"/>
      <family val="2"/>
    </font>
  </fonts>
  <fills count="4">
    <fill>
      <patternFill patternType="none"/>
    </fill>
    <fill>
      <patternFill patternType="gray125"/>
    </fill>
    <fill>
      <patternFill patternType="solid">
        <fgColor theme="1" tint="0.499984740745262"/>
        <bgColor indexed="64"/>
      </patternFill>
    </fill>
    <fill>
      <patternFill patternType="solid">
        <fgColor rgb="FFFFFF00"/>
        <bgColor indexed="64"/>
      </patternFill>
    </fill>
  </fills>
  <borders count="2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ck">
        <color indexed="64"/>
      </right>
      <top style="thick">
        <color indexed="64"/>
      </top>
      <bottom style="thick">
        <color indexed="64"/>
      </bottom>
      <diagonal/>
    </border>
    <border>
      <left style="thin">
        <color indexed="64"/>
      </left>
      <right/>
      <top/>
      <bottom style="hair">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11">
    <xf numFmtId="0" fontId="0" fillId="0" borderId="0"/>
    <xf numFmtId="41" fontId="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41" fontId="8" fillId="0" borderId="0" applyFont="0" applyFill="0" applyBorder="0" applyAlignment="0" applyProtection="0"/>
    <xf numFmtId="0" fontId="8" fillId="0" borderId="0"/>
  </cellStyleXfs>
  <cellXfs count="99">
    <xf numFmtId="0" fontId="0" fillId="0" borderId="0" xfId="0"/>
    <xf numFmtId="0" fontId="2" fillId="0" borderId="0" xfId="0" applyFont="1" applyAlignment="1">
      <alignment vertical="center"/>
    </xf>
    <xf numFmtId="0" fontId="3" fillId="0" borderId="1"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4" xfId="0" applyFont="1" applyBorder="1" applyAlignment="1">
      <alignment horizontal="center" vertical="center"/>
    </xf>
    <xf numFmtId="2" fontId="2" fillId="0" borderId="4" xfId="0" applyNumberFormat="1" applyFont="1" applyBorder="1" applyAlignment="1">
      <alignment horizontal="center" vertical="center"/>
    </xf>
    <xf numFmtId="0" fontId="2" fillId="0" borderId="4" xfId="0" applyFont="1" applyBorder="1" applyAlignment="1">
      <alignment vertical="center"/>
    </xf>
    <xf numFmtId="2" fontId="3" fillId="0" borderId="7" xfId="0" applyNumberFormat="1" applyFont="1" applyBorder="1" applyAlignment="1">
      <alignment horizontal="center" vertical="center"/>
    </xf>
    <xf numFmtId="0" fontId="2" fillId="0" borderId="0" xfId="0" applyFont="1" applyBorder="1" applyAlignment="1">
      <alignment horizontal="left"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4" fillId="0" borderId="0" xfId="0" applyFont="1" applyBorder="1" applyAlignment="1">
      <alignment horizontal="center" vertical="top"/>
    </xf>
    <xf numFmtId="0" fontId="2" fillId="0" borderId="0" xfId="0" applyFont="1" applyBorder="1"/>
    <xf numFmtId="0" fontId="2" fillId="0" borderId="0" xfId="0" applyFont="1" applyBorder="1" applyAlignment="1">
      <alignment horizontal="left" vertical="top"/>
    </xf>
    <xf numFmtId="0" fontId="2" fillId="0" borderId="0" xfId="0" applyFont="1" applyBorder="1" applyAlignment="1">
      <alignment vertical="top"/>
    </xf>
    <xf numFmtId="0" fontId="2" fillId="0" borderId="0" xfId="0" quotePrefix="1" applyFont="1" applyBorder="1" applyAlignment="1">
      <alignment vertical="top"/>
    </xf>
    <xf numFmtId="0" fontId="2" fillId="0" borderId="0" xfId="0" applyFont="1" applyBorder="1" applyAlignment="1">
      <alignment vertical="top" wrapText="1"/>
    </xf>
    <xf numFmtId="0" fontId="2"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vertical="top"/>
    </xf>
    <xf numFmtId="0" fontId="5" fillId="0" borderId="0" xfId="0" applyFont="1" applyBorder="1" applyAlignment="1">
      <alignment horizontal="left" vertical="top"/>
    </xf>
    <xf numFmtId="0" fontId="2" fillId="0" borderId="0" xfId="0" quotePrefix="1" applyFont="1" applyBorder="1" applyAlignment="1">
      <alignment horizontal="left" vertical="top" wrapText="1"/>
    </xf>
    <xf numFmtId="0" fontId="2" fillId="0" borderId="0" xfId="0" applyFont="1" applyAlignment="1">
      <alignment horizontal="center" vertical="center"/>
    </xf>
    <xf numFmtId="0" fontId="3" fillId="0" borderId="0" xfId="0" applyFont="1" applyBorder="1" applyAlignment="1">
      <alignment horizontal="center" vertical="center"/>
    </xf>
    <xf numFmtId="164" fontId="2" fillId="0" borderId="8" xfId="0" applyNumberFormat="1" applyFont="1" applyBorder="1" applyAlignment="1">
      <alignment horizontal="center" vertical="center"/>
    </xf>
    <xf numFmtId="0" fontId="2" fillId="0" borderId="0" xfId="0" applyFont="1" applyFill="1" applyBorder="1" applyAlignment="1">
      <alignment horizontal="left" vertical="top"/>
    </xf>
    <xf numFmtId="0" fontId="2" fillId="0" borderId="0" xfId="0" quotePrefix="1" applyFont="1" applyFill="1" applyBorder="1" applyAlignment="1">
      <alignment horizontal="left" vertical="top" wrapText="1"/>
    </xf>
    <xf numFmtId="0" fontId="2" fillId="0" borderId="0" xfId="0" applyFont="1" applyFill="1" applyBorder="1"/>
    <xf numFmtId="0" fontId="10" fillId="0" borderId="4" xfId="0" applyFont="1" applyBorder="1" applyAlignment="1">
      <alignment horizontal="center" vertical="center"/>
    </xf>
    <xf numFmtId="0" fontId="4" fillId="0" borderId="0" xfId="0" applyFont="1" applyBorder="1" applyAlignment="1">
      <alignment vertical="top"/>
    </xf>
    <xf numFmtId="0" fontId="3" fillId="0" borderId="0" xfId="0" applyFont="1" applyBorder="1" applyAlignment="1">
      <alignment horizontal="left" vertical="center"/>
    </xf>
    <xf numFmtId="0" fontId="11" fillId="0" borderId="0" xfId="0" applyFont="1" applyBorder="1" applyAlignment="1">
      <alignment horizontal="left" vertical="top" wrapText="1"/>
    </xf>
    <xf numFmtId="0" fontId="2" fillId="2" borderId="8" xfId="0" applyFont="1" applyFill="1" applyBorder="1" applyAlignment="1">
      <alignment vertical="center"/>
    </xf>
    <xf numFmtId="0" fontId="7" fillId="0" borderId="9" xfId="0" applyFont="1" applyBorder="1" applyAlignment="1">
      <alignment horizontal="center" vertical="center"/>
    </xf>
    <xf numFmtId="2" fontId="3" fillId="0" borderId="11" xfId="0" applyNumberFormat="1" applyFont="1" applyBorder="1" applyAlignment="1">
      <alignment horizontal="center" vertical="center"/>
    </xf>
    <xf numFmtId="2" fontId="3" fillId="0" borderId="12" xfId="0" applyNumberFormat="1" applyFont="1" applyBorder="1" applyAlignment="1">
      <alignment horizontal="center" vertical="center"/>
    </xf>
    <xf numFmtId="0" fontId="2" fillId="0" borderId="13" xfId="0" applyFont="1" applyBorder="1" applyAlignment="1">
      <alignment vertical="center"/>
    </xf>
    <xf numFmtId="0" fontId="2" fillId="0" borderId="3" xfId="0" applyFont="1" applyBorder="1" applyAlignment="1">
      <alignment horizontal="center" vertical="center"/>
    </xf>
    <xf numFmtId="0" fontId="3" fillId="0" borderId="10" xfId="0" applyFont="1" applyBorder="1" applyAlignment="1">
      <alignment horizontal="center" vertical="center"/>
    </xf>
    <xf numFmtId="41" fontId="2" fillId="0" borderId="0" xfId="1" applyFont="1" applyAlignment="1">
      <alignment vertical="center"/>
    </xf>
    <xf numFmtId="41" fontId="2" fillId="0" borderId="2" xfId="1" applyFont="1" applyBorder="1" applyAlignment="1">
      <alignment horizontal="center" vertical="center"/>
    </xf>
    <xf numFmtId="41" fontId="2" fillId="0" borderId="8" xfId="1" applyFont="1" applyBorder="1" applyAlignment="1">
      <alignment horizontal="center" vertical="center"/>
    </xf>
    <xf numFmtId="41" fontId="2" fillId="0" borderId="4" xfId="1" applyFont="1" applyBorder="1" applyAlignment="1">
      <alignment horizontal="center" vertical="center"/>
    </xf>
    <xf numFmtId="41" fontId="2" fillId="0" borderId="4" xfId="1" applyFont="1" applyBorder="1" applyAlignment="1">
      <alignment horizontal="left" vertical="center" indent="4"/>
    </xf>
    <xf numFmtId="41" fontId="3" fillId="0" borderId="7" xfId="1" applyFont="1" applyBorder="1" applyAlignment="1">
      <alignment horizontal="center" vertical="center"/>
    </xf>
    <xf numFmtId="41" fontId="2" fillId="0" borderId="0" xfId="1" applyFont="1" applyBorder="1" applyAlignment="1">
      <alignment horizontal="left" vertical="center"/>
    </xf>
    <xf numFmtId="41" fontId="2" fillId="0" borderId="5" xfId="1" applyFont="1" applyBorder="1" applyAlignment="1">
      <alignment horizontal="center" vertical="center"/>
    </xf>
    <xf numFmtId="0" fontId="10" fillId="0" borderId="6" xfId="0" applyFont="1" applyBorder="1" applyAlignment="1">
      <alignment horizontal="center" vertical="center"/>
    </xf>
    <xf numFmtId="41" fontId="2" fillId="0" borderId="3" xfId="1" applyFont="1" applyBorder="1" applyAlignment="1">
      <alignment horizontal="center" vertical="center"/>
    </xf>
    <xf numFmtId="2" fontId="2" fillId="0" borderId="10" xfId="0" applyNumberFormat="1" applyFont="1" applyBorder="1" applyAlignment="1">
      <alignment horizontal="center" vertical="center"/>
    </xf>
    <xf numFmtId="0" fontId="10" fillId="0" borderId="3" xfId="0" applyFont="1" applyBorder="1" applyAlignment="1">
      <alignment horizontal="center" vertical="center"/>
    </xf>
    <xf numFmtId="0" fontId="2" fillId="0" borderId="22" xfId="0" applyFont="1" applyBorder="1" applyAlignment="1">
      <alignment horizontal="center" vertical="center"/>
    </xf>
    <xf numFmtId="41" fontId="2" fillId="0" borderId="22" xfId="1" applyFont="1" applyBorder="1" applyAlignment="1">
      <alignment horizontal="center" vertical="center"/>
    </xf>
    <xf numFmtId="0" fontId="2" fillId="0" borderId="12" xfId="0" applyFont="1" applyBorder="1" applyAlignment="1">
      <alignment vertical="center"/>
    </xf>
    <xf numFmtId="0" fontId="2" fillId="0" borderId="0" xfId="0" applyFont="1" applyBorder="1" applyAlignment="1">
      <alignment horizontal="center" vertical="center"/>
    </xf>
    <xf numFmtId="2" fontId="3" fillId="0" borderId="7" xfId="0" applyNumberFormat="1" applyFont="1" applyBorder="1" applyAlignment="1">
      <alignment horizontal="center" vertical="center"/>
    </xf>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Fill="1" applyBorder="1" applyAlignment="1">
      <alignment horizontal="left" vertical="top"/>
    </xf>
    <xf numFmtId="0" fontId="2" fillId="0" borderId="0" xfId="0" quotePrefix="1" applyFont="1" applyFill="1" applyBorder="1" applyAlignment="1">
      <alignment horizontal="left" vertical="top"/>
    </xf>
    <xf numFmtId="0" fontId="2" fillId="3" borderId="0" xfId="0" applyFont="1" applyFill="1" applyBorder="1" applyAlignment="1">
      <alignment horizontal="left" vertical="top" wrapText="1"/>
    </xf>
    <xf numFmtId="0" fontId="11" fillId="0" borderId="0" xfId="0" applyFont="1" applyBorder="1" applyAlignment="1">
      <alignment horizontal="left" vertical="top" wrapText="1"/>
    </xf>
    <xf numFmtId="0" fontId="11" fillId="0" borderId="0" xfId="0" applyFont="1" applyFill="1" applyBorder="1" applyAlignment="1">
      <alignment horizontal="center" vertical="top"/>
    </xf>
    <xf numFmtId="0" fontId="1" fillId="0" borderId="0" xfId="0" applyFont="1" applyAlignment="1">
      <alignment horizontal="center"/>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11" xfId="0" applyFont="1" applyBorder="1" applyAlignment="1">
      <alignment horizontal="center" vertical="center"/>
    </xf>
    <xf numFmtId="0" fontId="3" fillId="0" borderId="18" xfId="0" applyFont="1" applyBorder="1" applyAlignment="1">
      <alignment horizontal="center" vertical="center"/>
    </xf>
    <xf numFmtId="0" fontId="3" fillId="0" borderId="12"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3" fillId="0" borderId="7" xfId="0" applyFont="1" applyBorder="1" applyAlignment="1">
      <alignment horizontal="center" vertical="center"/>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164" fontId="3" fillId="0" borderId="17" xfId="0" applyNumberFormat="1" applyFont="1" applyBorder="1" applyAlignment="1">
      <alignment horizontal="left"/>
    </xf>
    <xf numFmtId="164" fontId="3" fillId="0" borderId="19" xfId="0" applyNumberFormat="1" applyFont="1" applyBorder="1" applyAlignment="1">
      <alignment horizontal="left"/>
    </xf>
    <xf numFmtId="164" fontId="3" fillId="0" borderId="11" xfId="0" applyNumberFormat="1" applyFont="1" applyBorder="1" applyAlignment="1">
      <alignment horizontal="left"/>
    </xf>
    <xf numFmtId="41" fontId="3" fillId="0" borderId="15" xfId="1" applyFont="1" applyBorder="1" applyAlignment="1">
      <alignment horizontal="center" vertical="center" wrapText="1"/>
    </xf>
    <xf numFmtId="41" fontId="3" fillId="0" borderId="1" xfId="1" applyFont="1" applyBorder="1" applyAlignment="1">
      <alignment horizontal="center" vertical="center"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164" fontId="2" fillId="0" borderId="14" xfId="0" applyNumberFormat="1" applyFont="1" applyBorder="1" applyAlignment="1">
      <alignment horizontal="center" vertical="center"/>
    </xf>
    <xf numFmtId="164" fontId="2" fillId="0" borderId="7" xfId="0" applyNumberFormat="1" applyFont="1" applyBorder="1" applyAlignment="1">
      <alignment horizontal="center" vertical="center"/>
    </xf>
    <xf numFmtId="0" fontId="2" fillId="2" borderId="15" xfId="0" applyFont="1" applyFill="1" applyBorder="1" applyAlignment="1">
      <alignment horizontal="center" vertical="center"/>
    </xf>
    <xf numFmtId="0" fontId="2" fillId="2" borderId="1" xfId="0" applyFont="1" applyFill="1" applyBorder="1" applyAlignment="1">
      <alignment horizontal="center" vertical="center"/>
    </xf>
    <xf numFmtId="2" fontId="3" fillId="2" borderId="15"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164" fontId="3" fillId="0" borderId="0" xfId="0" applyNumberFormat="1" applyFont="1" applyBorder="1" applyAlignment="1">
      <alignment horizontal="left"/>
    </xf>
    <xf numFmtId="164" fontId="3" fillId="0" borderId="13" xfId="0" applyNumberFormat="1" applyFont="1" applyBorder="1" applyAlignment="1">
      <alignment horizontal="left"/>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2" fillId="0" borderId="0" xfId="0" applyFont="1" applyBorder="1" applyAlignment="1">
      <alignment horizontal="center" vertical="center"/>
    </xf>
    <xf numFmtId="2" fontId="3" fillId="0" borderId="16" xfId="0" applyNumberFormat="1" applyFont="1" applyBorder="1" applyAlignment="1">
      <alignment horizontal="center" vertical="center"/>
    </xf>
    <xf numFmtId="2" fontId="3" fillId="0" borderId="7" xfId="0" applyNumberFormat="1" applyFont="1" applyBorder="1" applyAlignment="1">
      <alignment horizontal="center" vertical="center"/>
    </xf>
    <xf numFmtId="164" fontId="3" fillId="0" borderId="23" xfId="0" applyNumberFormat="1" applyFont="1" applyBorder="1" applyAlignment="1">
      <alignment horizontal="left"/>
    </xf>
    <xf numFmtId="164" fontId="3" fillId="0" borderId="24" xfId="0" applyNumberFormat="1" applyFont="1" applyBorder="1" applyAlignment="1">
      <alignment horizontal="left"/>
    </xf>
    <xf numFmtId="164" fontId="3" fillId="0" borderId="25" xfId="0" applyNumberFormat="1" applyFont="1" applyBorder="1" applyAlignment="1">
      <alignment horizontal="left"/>
    </xf>
    <xf numFmtId="0" fontId="2" fillId="2" borderId="2" xfId="0" applyFont="1" applyFill="1" applyBorder="1" applyAlignment="1">
      <alignment vertical="center"/>
    </xf>
  </cellXfs>
  <cellStyles count="11">
    <cellStyle name="Comma [0]" xfId="1" builtinId="6"/>
    <cellStyle name="Comma [0] 2" xfId="9"/>
    <cellStyle name="Normal" xfId="0" builtinId="0"/>
    <cellStyle name="Normal 2" xfId="2"/>
    <cellStyle name="Normal 3" xfId="3"/>
    <cellStyle name="Normal 4" xfId="4"/>
    <cellStyle name="Normal 5" xfId="5"/>
    <cellStyle name="Normal 6" xfId="6"/>
    <cellStyle name="Normal 7" xfId="7"/>
    <cellStyle name="Normal 8" xfId="10"/>
    <cellStyle name="Normal 8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4"/>
  <sheetViews>
    <sheetView view="pageBreakPreview" topLeftCell="A37" zoomScaleNormal="100" zoomScaleSheetLayoutView="100" workbookViewId="0">
      <selection activeCell="D28" sqref="D28:E28"/>
    </sheetView>
  </sheetViews>
  <sheetFormatPr defaultRowHeight="14.25"/>
  <cols>
    <col min="1" max="1" width="23.7109375" style="13" bestFit="1" customWidth="1"/>
    <col min="2" max="2" width="1.5703125" style="14" bestFit="1" customWidth="1"/>
    <col min="3" max="3" width="1.85546875" style="14" customWidth="1"/>
    <col min="4" max="4" width="2.140625" style="14" customWidth="1"/>
    <col min="5" max="5" width="69.42578125" style="14" customWidth="1"/>
    <col min="6" max="16384" width="9.140625" style="12"/>
  </cols>
  <sheetData>
    <row r="2" spans="1:7" ht="17.25">
      <c r="A2" s="29" t="s">
        <v>9</v>
      </c>
      <c r="B2" s="29"/>
      <c r="C2" s="29"/>
      <c r="D2" s="29"/>
      <c r="E2" s="11"/>
    </row>
    <row r="4" spans="1:7" ht="15" customHeight="1">
      <c r="A4" s="13" t="s">
        <v>18</v>
      </c>
      <c r="B4" s="14" t="s">
        <v>8</v>
      </c>
      <c r="C4" s="14" t="s">
        <v>74</v>
      </c>
    </row>
    <row r="5" spans="1:7" ht="15" customHeight="1">
      <c r="C5" s="15" t="s">
        <v>17</v>
      </c>
      <c r="D5" s="14" t="s">
        <v>34</v>
      </c>
    </row>
    <row r="6" spans="1:7" ht="45" customHeight="1">
      <c r="C6" s="15" t="s">
        <v>17</v>
      </c>
      <c r="D6" s="57" t="s">
        <v>75</v>
      </c>
      <c r="E6" s="57"/>
    </row>
    <row r="7" spans="1:7" ht="30" customHeight="1">
      <c r="C7" s="15" t="s">
        <v>17</v>
      </c>
      <c r="D7" s="57" t="s">
        <v>68</v>
      </c>
      <c r="E7" s="57"/>
    </row>
    <row r="8" spans="1:7" ht="30" customHeight="1">
      <c r="C8" s="15" t="s">
        <v>17</v>
      </c>
      <c r="D8" s="57" t="s">
        <v>69</v>
      </c>
      <c r="E8" s="57"/>
    </row>
    <row r="9" spans="1:7" ht="45" customHeight="1">
      <c r="C9" s="15" t="s">
        <v>17</v>
      </c>
      <c r="D9" s="57" t="s">
        <v>65</v>
      </c>
      <c r="E9" s="57"/>
    </row>
    <row r="10" spans="1:7" ht="15" customHeight="1">
      <c r="D10" s="15" t="s">
        <v>23</v>
      </c>
      <c r="E10" s="16"/>
    </row>
    <row r="11" spans="1:7" ht="45" customHeight="1">
      <c r="A11" s="15" t="s">
        <v>24</v>
      </c>
      <c r="B11" s="15"/>
      <c r="D11" s="15" t="s">
        <v>72</v>
      </c>
      <c r="E11" s="16" t="s">
        <v>80</v>
      </c>
    </row>
    <row r="12" spans="1:7" ht="9.9499999999999993" customHeight="1">
      <c r="C12" s="15"/>
      <c r="D12" s="16"/>
      <c r="E12" s="16"/>
    </row>
    <row r="13" spans="1:7" ht="15" customHeight="1">
      <c r="A13" s="13" t="s">
        <v>0</v>
      </c>
      <c r="B13" s="14" t="s">
        <v>8</v>
      </c>
      <c r="C13" s="14" t="s">
        <v>38</v>
      </c>
      <c r="G13" s="1"/>
    </row>
    <row r="14" spans="1:7" ht="9.9499999999999993" customHeight="1">
      <c r="G14" s="1"/>
    </row>
    <row r="15" spans="1:7" ht="30" customHeight="1">
      <c r="A15" s="13" t="s">
        <v>16</v>
      </c>
      <c r="B15" s="14" t="s">
        <v>8</v>
      </c>
      <c r="C15" s="57" t="s">
        <v>39</v>
      </c>
      <c r="D15" s="57"/>
      <c r="E15" s="57"/>
      <c r="G15" s="1"/>
    </row>
    <row r="16" spans="1:7" ht="9.9499999999999993" customHeight="1">
      <c r="C16" s="17"/>
      <c r="D16" s="17"/>
      <c r="E16" s="17"/>
    </row>
    <row r="17" spans="1:6" ht="30" customHeight="1">
      <c r="A17" s="13" t="s">
        <v>21</v>
      </c>
      <c r="B17" s="14" t="s">
        <v>8</v>
      </c>
      <c r="C17" s="57" t="s">
        <v>70</v>
      </c>
      <c r="D17" s="57"/>
      <c r="E17" s="57"/>
    </row>
    <row r="18" spans="1:6" ht="15" customHeight="1">
      <c r="C18" s="13" t="s">
        <v>71</v>
      </c>
      <c r="D18" s="17"/>
      <c r="E18" s="17"/>
    </row>
    <row r="19" spans="1:6" ht="9.9499999999999993" customHeight="1">
      <c r="C19" s="17"/>
      <c r="D19" s="17"/>
      <c r="E19" s="17"/>
    </row>
    <row r="20" spans="1:6" ht="30" customHeight="1">
      <c r="A20" s="13" t="s">
        <v>10</v>
      </c>
      <c r="B20" s="14" t="s">
        <v>8</v>
      </c>
      <c r="C20" s="57" t="s">
        <v>40</v>
      </c>
      <c r="D20" s="57"/>
      <c r="E20" s="57"/>
    </row>
    <row r="21" spans="1:6" ht="9.9499999999999993" customHeight="1"/>
    <row r="22" spans="1:6" ht="30" customHeight="1">
      <c r="A22" s="13" t="s">
        <v>11</v>
      </c>
      <c r="B22" s="14" t="s">
        <v>8</v>
      </c>
      <c r="C22" s="15" t="s">
        <v>17</v>
      </c>
      <c r="D22" s="57" t="s">
        <v>76</v>
      </c>
      <c r="E22" s="57"/>
    </row>
    <row r="23" spans="1:6" ht="30" customHeight="1">
      <c r="C23" s="15" t="s">
        <v>17</v>
      </c>
      <c r="D23" s="57" t="s">
        <v>41</v>
      </c>
      <c r="E23" s="57"/>
    </row>
    <row r="24" spans="1:6" ht="30" customHeight="1">
      <c r="C24" s="15" t="s">
        <v>17</v>
      </c>
      <c r="D24" s="57" t="s">
        <v>88</v>
      </c>
      <c r="E24" s="57"/>
    </row>
    <row r="25" spans="1:6" ht="15" customHeight="1">
      <c r="D25" s="13" t="s">
        <v>25</v>
      </c>
      <c r="E25" s="17"/>
    </row>
    <row r="26" spans="1:6" ht="45" customHeight="1">
      <c r="D26" s="15" t="s">
        <v>72</v>
      </c>
      <c r="E26" s="16" t="s">
        <v>42</v>
      </c>
    </row>
    <row r="27" spans="1:6" ht="45" customHeight="1">
      <c r="D27" s="15" t="s">
        <v>72</v>
      </c>
      <c r="E27" s="16" t="s">
        <v>43</v>
      </c>
    </row>
    <row r="28" spans="1:6" ht="45" customHeight="1">
      <c r="C28" s="15" t="s">
        <v>17</v>
      </c>
      <c r="D28" s="57" t="s">
        <v>26</v>
      </c>
      <c r="E28" s="57"/>
      <c r="F28" s="16"/>
    </row>
    <row r="29" spans="1:6" ht="15" customHeight="1">
      <c r="D29" s="13" t="s">
        <v>25</v>
      </c>
      <c r="E29" s="17"/>
      <c r="F29" s="17"/>
    </row>
    <row r="30" spans="1:6" ht="60" customHeight="1">
      <c r="D30" s="15" t="s">
        <v>72</v>
      </c>
      <c r="E30" s="16" t="s">
        <v>27</v>
      </c>
      <c r="F30" s="16"/>
    </row>
    <row r="31" spans="1:6" ht="30" customHeight="1">
      <c r="C31" s="17" t="s">
        <v>17</v>
      </c>
      <c r="D31" s="62" t="s">
        <v>89</v>
      </c>
      <c r="E31" s="57"/>
    </row>
    <row r="32" spans="1:6" ht="9.75" customHeight="1">
      <c r="C32" s="17"/>
      <c r="D32" s="31"/>
      <c r="E32" s="17"/>
    </row>
    <row r="33" spans="1:6" ht="30" customHeight="1">
      <c r="A33" s="13" t="s">
        <v>12</v>
      </c>
      <c r="B33" s="14" t="s">
        <v>8</v>
      </c>
      <c r="C33" s="58" t="s">
        <v>91</v>
      </c>
      <c r="D33" s="58"/>
      <c r="E33" s="58"/>
    </row>
    <row r="34" spans="1:6" ht="15" customHeight="1">
      <c r="C34" s="13" t="s">
        <v>25</v>
      </c>
      <c r="D34" s="17"/>
      <c r="E34" s="12"/>
      <c r="F34" s="17"/>
    </row>
    <row r="35" spans="1:6" ht="15" customHeight="1">
      <c r="C35" s="15" t="s">
        <v>72</v>
      </c>
      <c r="D35" s="57" t="s">
        <v>90</v>
      </c>
      <c r="E35" s="57"/>
      <c r="F35" s="16"/>
    </row>
    <row r="36" spans="1:6" ht="9.9499999999999993" customHeight="1">
      <c r="C36" s="18"/>
      <c r="D36" s="63"/>
      <c r="E36" s="63"/>
    </row>
    <row r="37" spans="1:6" ht="15" customHeight="1">
      <c r="A37" s="13" t="s">
        <v>31</v>
      </c>
      <c r="C37" s="19"/>
      <c r="E37" s="13"/>
    </row>
    <row r="38" spans="1:6" ht="9.9499999999999993" customHeight="1">
      <c r="A38" s="20"/>
      <c r="C38" s="19"/>
    </row>
    <row r="39" spans="1:6" ht="45" customHeight="1">
      <c r="A39" s="13" t="s">
        <v>22</v>
      </c>
      <c r="B39" s="14" t="s">
        <v>8</v>
      </c>
      <c r="C39" s="21" t="s">
        <v>17</v>
      </c>
      <c r="D39" s="58" t="s">
        <v>77</v>
      </c>
      <c r="E39" s="58"/>
    </row>
    <row r="40" spans="1:6" s="27" customFormat="1" ht="30" customHeight="1">
      <c r="A40" s="25"/>
      <c r="B40" s="19"/>
      <c r="C40" s="26" t="s">
        <v>17</v>
      </c>
      <c r="D40" s="58" t="s">
        <v>62</v>
      </c>
      <c r="E40" s="58"/>
    </row>
    <row r="41" spans="1:6" ht="30" customHeight="1">
      <c r="C41" s="21" t="s">
        <v>17</v>
      </c>
      <c r="D41" s="61" t="s">
        <v>66</v>
      </c>
      <c r="E41" s="61"/>
    </row>
    <row r="42" spans="1:6" ht="30" customHeight="1">
      <c r="C42" s="21" t="s">
        <v>17</v>
      </c>
      <c r="D42" s="58" t="s">
        <v>36</v>
      </c>
      <c r="E42" s="58"/>
    </row>
    <row r="43" spans="1:6" ht="15" customHeight="1">
      <c r="D43" s="13" t="s">
        <v>25</v>
      </c>
      <c r="E43" s="17"/>
      <c r="F43" s="17"/>
    </row>
    <row r="44" spans="1:6" ht="129.94999999999999" customHeight="1">
      <c r="D44" s="15" t="s">
        <v>72</v>
      </c>
      <c r="E44" s="16" t="s">
        <v>79</v>
      </c>
      <c r="F44" s="17"/>
    </row>
    <row r="45" spans="1:6" ht="9.9499999999999993" customHeight="1">
      <c r="C45" s="19"/>
    </row>
    <row r="46" spans="1:6" ht="30" customHeight="1">
      <c r="A46" s="13" t="s">
        <v>13</v>
      </c>
      <c r="B46" s="14" t="s">
        <v>8</v>
      </c>
      <c r="C46" s="58" t="s">
        <v>44</v>
      </c>
      <c r="D46" s="58"/>
      <c r="E46" s="58"/>
    </row>
    <row r="47" spans="1:6" ht="9.9499999999999993" customHeight="1">
      <c r="C47" s="19"/>
    </row>
    <row r="48" spans="1:6" ht="60" customHeight="1">
      <c r="A48" s="13" t="s">
        <v>33</v>
      </c>
      <c r="B48" s="14" t="s">
        <v>8</v>
      </c>
      <c r="C48" s="58" t="s">
        <v>85</v>
      </c>
      <c r="D48" s="58"/>
      <c r="E48" s="58"/>
    </row>
    <row r="49" spans="1:6" ht="9.9499999999999993" customHeight="1">
      <c r="C49" s="18"/>
      <c r="D49" s="18"/>
      <c r="E49" s="18"/>
    </row>
    <row r="50" spans="1:6" ht="15" customHeight="1">
      <c r="A50" s="13" t="s">
        <v>82</v>
      </c>
      <c r="B50" s="14" t="s">
        <v>8</v>
      </c>
      <c r="C50" s="58" t="s">
        <v>84</v>
      </c>
      <c r="D50" s="58"/>
      <c r="E50" s="58"/>
    </row>
    <row r="51" spans="1:6" ht="9.9499999999999993" customHeight="1">
      <c r="C51" s="18"/>
      <c r="D51" s="18"/>
      <c r="E51" s="18"/>
    </row>
    <row r="52" spans="1:6" ht="15" customHeight="1">
      <c r="A52" s="13" t="s">
        <v>83</v>
      </c>
      <c r="B52" s="14" t="s">
        <v>8</v>
      </c>
      <c r="C52" s="59" t="s">
        <v>45</v>
      </c>
      <c r="D52" s="59"/>
      <c r="E52" s="59"/>
    </row>
    <row r="53" spans="1:6" ht="9.9499999999999993" customHeight="1">
      <c r="C53" s="19"/>
    </row>
    <row r="54" spans="1:6" ht="15" customHeight="1">
      <c r="A54" s="13" t="s">
        <v>7</v>
      </c>
      <c r="B54" s="14" t="s">
        <v>8</v>
      </c>
      <c r="C54" s="59" t="s">
        <v>46</v>
      </c>
      <c r="D54" s="59"/>
      <c r="E54" s="59"/>
    </row>
    <row r="55" spans="1:6" ht="9.9499999999999993" customHeight="1">
      <c r="C55" s="19"/>
    </row>
    <row r="56" spans="1:6" ht="15" customHeight="1">
      <c r="A56" s="13" t="s">
        <v>6</v>
      </c>
      <c r="B56" s="14" t="s">
        <v>8</v>
      </c>
      <c r="C56" s="60" t="s">
        <v>47</v>
      </c>
      <c r="D56" s="60"/>
      <c r="E56" s="60"/>
    </row>
    <row r="57" spans="1:6" ht="15" customHeight="1">
      <c r="C57" s="15" t="s">
        <v>17</v>
      </c>
      <c r="D57" s="56" t="s">
        <v>63</v>
      </c>
      <c r="E57" s="56"/>
    </row>
    <row r="58" spans="1:6" ht="30" customHeight="1">
      <c r="C58" s="15" t="s">
        <v>17</v>
      </c>
      <c r="D58" s="57" t="s">
        <v>64</v>
      </c>
      <c r="E58" s="57"/>
    </row>
    <row r="59" spans="1:6" ht="28.5" customHeight="1">
      <c r="C59" s="15" t="s">
        <v>17</v>
      </c>
      <c r="D59" s="57" t="s">
        <v>86</v>
      </c>
      <c r="E59" s="57"/>
    </row>
    <row r="60" spans="1:6" ht="29.25" customHeight="1">
      <c r="C60" s="15" t="s">
        <v>17</v>
      </c>
      <c r="D60" s="57" t="s">
        <v>87</v>
      </c>
      <c r="E60" s="57"/>
    </row>
    <row r="61" spans="1:6" ht="30" customHeight="1">
      <c r="C61" s="15" t="s">
        <v>17</v>
      </c>
      <c r="D61" s="57" t="s">
        <v>78</v>
      </c>
      <c r="E61" s="57"/>
    </row>
    <row r="62" spans="1:6" ht="15" customHeight="1">
      <c r="D62" s="13" t="s">
        <v>25</v>
      </c>
      <c r="E62" s="17"/>
      <c r="F62" s="17"/>
    </row>
    <row r="63" spans="1:6" ht="45" customHeight="1">
      <c r="D63" s="15" t="s">
        <v>72</v>
      </c>
      <c r="E63" s="16" t="s">
        <v>81</v>
      </c>
      <c r="F63" s="17"/>
    </row>
    <row r="64" spans="1:6">
      <c r="E64" s="16"/>
    </row>
  </sheetData>
  <mergeCells count="30">
    <mergeCell ref="D6:E6"/>
    <mergeCell ref="D7:E7"/>
    <mergeCell ref="D8:E8"/>
    <mergeCell ref="D9:E9"/>
    <mergeCell ref="C15:E15"/>
    <mergeCell ref="C17:E17"/>
    <mergeCell ref="C20:E20"/>
    <mergeCell ref="D22:E22"/>
    <mergeCell ref="D23:E23"/>
    <mergeCell ref="D24:E24"/>
    <mergeCell ref="D28:E28"/>
    <mergeCell ref="D31:E31"/>
    <mergeCell ref="C33:E33"/>
    <mergeCell ref="D35:E35"/>
    <mergeCell ref="D36:E36"/>
    <mergeCell ref="D39:E39"/>
    <mergeCell ref="D40:E40"/>
    <mergeCell ref="D41:E41"/>
    <mergeCell ref="D42:E42"/>
    <mergeCell ref="C46:E46"/>
    <mergeCell ref="C48:E48"/>
    <mergeCell ref="C50:E50"/>
    <mergeCell ref="C52:E52"/>
    <mergeCell ref="C54:E54"/>
    <mergeCell ref="C56:E56"/>
    <mergeCell ref="D57:E57"/>
    <mergeCell ref="D58:E58"/>
    <mergeCell ref="D59:E59"/>
    <mergeCell ref="D60:E60"/>
    <mergeCell ref="D61:E61"/>
  </mergeCells>
  <pageMargins left="0.5" right="0.25" top="0.5" bottom="0.2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view="pageBreakPreview" topLeftCell="A31" zoomScale="85" zoomScaleSheetLayoutView="85" workbookViewId="0">
      <selection activeCell="I14" sqref="I14:J27"/>
    </sheetView>
  </sheetViews>
  <sheetFormatPr defaultRowHeight="14.25"/>
  <cols>
    <col min="1" max="1" width="4.42578125" style="1" customWidth="1"/>
    <col min="2" max="2" width="14.5703125" style="1" customWidth="1"/>
    <col min="3" max="3" width="105.42578125" style="1" customWidth="1"/>
    <col min="4" max="4" width="14.5703125" style="1" bestFit="1" customWidth="1"/>
    <col min="5" max="5" width="9.5703125" style="1" customWidth="1"/>
    <col min="6" max="6" width="8.28515625" style="1" customWidth="1"/>
    <col min="7" max="7" width="9" style="1" customWidth="1"/>
    <col min="8" max="8" width="8.5703125" style="39" customWidth="1"/>
    <col min="9" max="9" width="19" style="1" bestFit="1" customWidth="1"/>
    <col min="10" max="10" width="6.5703125" style="1" customWidth="1"/>
    <col min="11" max="11" width="11" style="1" customWidth="1"/>
    <col min="12" max="12" width="29" style="1" customWidth="1"/>
    <col min="13" max="16384" width="9.140625" style="1"/>
  </cols>
  <sheetData>
    <row r="1" spans="1:11" ht="15" thickBot="1"/>
    <row r="2" spans="1:11" ht="30" customHeight="1" thickTop="1" thickBot="1">
      <c r="K2" s="33" t="s">
        <v>92</v>
      </c>
    </row>
    <row r="3" spans="1:11" ht="21" thickTop="1">
      <c r="A3" s="64" t="s">
        <v>96</v>
      </c>
      <c r="B3" s="64"/>
      <c r="C3" s="64"/>
      <c r="D3" s="64"/>
      <c r="E3" s="64"/>
      <c r="F3" s="64"/>
      <c r="G3" s="64"/>
      <c r="H3" s="64"/>
      <c r="I3" s="64"/>
      <c r="J3" s="64"/>
      <c r="K3" s="64"/>
    </row>
    <row r="5" spans="1:11">
      <c r="A5" s="1" t="s">
        <v>19</v>
      </c>
      <c r="C5" s="1" t="s">
        <v>94</v>
      </c>
    </row>
    <row r="6" spans="1:11">
      <c r="A6" s="1" t="s">
        <v>0</v>
      </c>
      <c r="C6" s="1" t="s">
        <v>97</v>
      </c>
    </row>
    <row r="7" spans="1:11">
      <c r="A7" s="1" t="s">
        <v>15</v>
      </c>
      <c r="C7" s="1" t="s">
        <v>127</v>
      </c>
    </row>
    <row r="8" spans="1:11">
      <c r="A8" s="1" t="s">
        <v>20</v>
      </c>
      <c r="C8" s="1" t="s">
        <v>98</v>
      </c>
    </row>
    <row r="10" spans="1:11">
      <c r="A10" s="65" t="s">
        <v>1</v>
      </c>
      <c r="B10" s="66" t="s">
        <v>2</v>
      </c>
      <c r="C10" s="67"/>
      <c r="D10" s="65" t="s">
        <v>3</v>
      </c>
      <c r="E10" s="70" t="s">
        <v>31</v>
      </c>
      <c r="F10" s="71"/>
      <c r="G10" s="72"/>
      <c r="H10" s="78" t="s">
        <v>32</v>
      </c>
      <c r="I10" s="73" t="s">
        <v>93</v>
      </c>
      <c r="J10" s="73" t="s">
        <v>48</v>
      </c>
      <c r="K10" s="65" t="s">
        <v>14</v>
      </c>
    </row>
    <row r="11" spans="1:11">
      <c r="A11" s="65"/>
      <c r="B11" s="68"/>
      <c r="C11" s="69"/>
      <c r="D11" s="65"/>
      <c r="E11" s="2" t="s">
        <v>30</v>
      </c>
      <c r="F11" s="2" t="s">
        <v>4</v>
      </c>
      <c r="G11" s="2" t="s">
        <v>5</v>
      </c>
      <c r="H11" s="79"/>
      <c r="I11" s="74"/>
      <c r="J11" s="74"/>
      <c r="K11" s="65"/>
    </row>
    <row r="12" spans="1:11">
      <c r="A12" s="3">
        <v>-1</v>
      </c>
      <c r="B12" s="82">
        <f>A12-1</f>
        <v>-2</v>
      </c>
      <c r="C12" s="83"/>
      <c r="D12" s="3">
        <f>B12-1</f>
        <v>-3</v>
      </c>
      <c r="E12" s="3">
        <f t="shared" ref="E12:K12" si="0">D12-1</f>
        <v>-4</v>
      </c>
      <c r="F12" s="3">
        <f t="shared" si="0"/>
        <v>-5</v>
      </c>
      <c r="G12" s="3">
        <f t="shared" si="0"/>
        <v>-6</v>
      </c>
      <c r="H12" s="40">
        <f t="shared" si="0"/>
        <v>-7</v>
      </c>
      <c r="I12" s="3">
        <f>H12-1</f>
        <v>-8</v>
      </c>
      <c r="J12" s="3">
        <f>I12-1</f>
        <v>-9</v>
      </c>
      <c r="K12" s="3">
        <f t="shared" si="0"/>
        <v>-10</v>
      </c>
    </row>
    <row r="13" spans="1:11">
      <c r="A13" s="75" t="s">
        <v>37</v>
      </c>
      <c r="B13" s="76"/>
      <c r="C13" s="77"/>
      <c r="D13" s="24"/>
      <c r="E13" s="24"/>
      <c r="F13" s="24"/>
      <c r="G13" s="24"/>
      <c r="H13" s="41"/>
      <c r="I13" s="24"/>
      <c r="J13" s="24"/>
      <c r="K13" s="24"/>
    </row>
    <row r="14" spans="1:11" ht="14.25" customHeight="1">
      <c r="A14" s="38">
        <v>1</v>
      </c>
      <c r="B14" s="80" t="s">
        <v>111</v>
      </c>
      <c r="C14" s="81"/>
      <c r="D14" s="4" t="s">
        <v>67</v>
      </c>
      <c r="E14" s="4">
        <v>6</v>
      </c>
      <c r="F14" s="4">
        <v>6</v>
      </c>
      <c r="G14" s="4">
        <v>100</v>
      </c>
      <c r="H14" s="42">
        <v>97</v>
      </c>
      <c r="I14" s="46" t="s">
        <v>119</v>
      </c>
      <c r="J14" s="28">
        <f>E14*0.02*0.8</f>
        <v>9.6000000000000002E-2</v>
      </c>
      <c r="K14" s="36"/>
    </row>
    <row r="15" spans="1:11" ht="14.25" customHeight="1">
      <c r="A15" s="38">
        <v>2</v>
      </c>
      <c r="B15" s="80" t="s">
        <v>99</v>
      </c>
      <c r="C15" s="81"/>
      <c r="D15" s="4" t="s">
        <v>67</v>
      </c>
      <c r="E15" s="4">
        <v>45</v>
      </c>
      <c r="F15" s="4">
        <v>45</v>
      </c>
      <c r="G15" s="4">
        <v>100</v>
      </c>
      <c r="H15" s="42">
        <v>99</v>
      </c>
      <c r="I15" s="46" t="s">
        <v>119</v>
      </c>
      <c r="J15" s="28">
        <f>E15*0.02*0.8</f>
        <v>0.72000000000000008</v>
      </c>
      <c r="K15" s="36"/>
    </row>
    <row r="16" spans="1:11" ht="14.25" customHeight="1">
      <c r="A16" s="38">
        <v>3</v>
      </c>
      <c r="B16" s="80" t="s">
        <v>116</v>
      </c>
      <c r="C16" s="81"/>
      <c r="D16" s="28" t="s">
        <v>67</v>
      </c>
      <c r="E16" s="4">
        <v>205</v>
      </c>
      <c r="F16" s="4">
        <v>205</v>
      </c>
      <c r="G16" s="28">
        <v>100</v>
      </c>
      <c r="H16" s="42">
        <v>98</v>
      </c>
      <c r="I16" s="46" t="s">
        <v>119</v>
      </c>
      <c r="J16" s="28">
        <f>E16*0.02*0.8</f>
        <v>3.28</v>
      </c>
      <c r="K16" s="36"/>
    </row>
    <row r="17" spans="1:11" ht="14.25" customHeight="1">
      <c r="A17" s="38">
        <v>4</v>
      </c>
      <c r="B17" s="80" t="s">
        <v>102</v>
      </c>
      <c r="C17" s="81"/>
      <c r="D17" s="28" t="s">
        <v>67</v>
      </c>
      <c r="E17" s="4">
        <v>205</v>
      </c>
      <c r="F17" s="4">
        <v>205</v>
      </c>
      <c r="G17" s="28">
        <v>100</v>
      </c>
      <c r="H17" s="42">
        <v>98</v>
      </c>
      <c r="I17" s="46" t="s">
        <v>119</v>
      </c>
      <c r="J17" s="28">
        <f>E17*0.02*0.8</f>
        <v>3.28</v>
      </c>
      <c r="K17" s="47"/>
    </row>
    <row r="18" spans="1:11" ht="14.25" customHeight="1">
      <c r="A18" s="38">
        <v>5</v>
      </c>
      <c r="B18" s="80" t="s">
        <v>124</v>
      </c>
      <c r="C18" s="81"/>
      <c r="D18" s="4" t="s">
        <v>103</v>
      </c>
      <c r="E18" s="4">
        <v>100</v>
      </c>
      <c r="F18" s="4">
        <v>100</v>
      </c>
      <c r="G18" s="4">
        <v>100</v>
      </c>
      <c r="H18" s="42">
        <v>99</v>
      </c>
      <c r="I18" s="46" t="s">
        <v>123</v>
      </c>
      <c r="J18" s="28">
        <f>E18*0.001*0.8</f>
        <v>8.0000000000000016E-2</v>
      </c>
      <c r="K18" s="36"/>
    </row>
    <row r="19" spans="1:11" ht="14.25" customHeight="1">
      <c r="A19" s="38">
        <v>6</v>
      </c>
      <c r="B19" s="80" t="s">
        <v>105</v>
      </c>
      <c r="C19" s="81"/>
      <c r="D19" s="4" t="s">
        <v>67</v>
      </c>
      <c r="E19" s="4">
        <v>9</v>
      </c>
      <c r="F19" s="4">
        <v>9</v>
      </c>
      <c r="G19" s="4">
        <v>100</v>
      </c>
      <c r="H19" s="42">
        <v>99</v>
      </c>
      <c r="I19" s="46" t="s">
        <v>119</v>
      </c>
      <c r="J19" s="28">
        <f>E19*0.02*0.8</f>
        <v>0.14399999999999999</v>
      </c>
      <c r="K19" s="36"/>
    </row>
    <row r="20" spans="1:11" ht="14.25" customHeight="1">
      <c r="A20" s="38">
        <v>7</v>
      </c>
      <c r="B20" s="80" t="s">
        <v>112</v>
      </c>
      <c r="C20" s="81"/>
      <c r="D20" s="4" t="s">
        <v>122</v>
      </c>
      <c r="E20" s="4">
        <v>1</v>
      </c>
      <c r="F20" s="4">
        <v>1</v>
      </c>
      <c r="G20" s="4">
        <v>100</v>
      </c>
      <c r="H20" s="42">
        <v>99</v>
      </c>
      <c r="I20" s="46" t="s">
        <v>120</v>
      </c>
      <c r="J20" s="28" t="s">
        <v>121</v>
      </c>
      <c r="K20" s="36"/>
    </row>
    <row r="21" spans="1:11" ht="14.25" customHeight="1">
      <c r="A21" s="38">
        <v>8</v>
      </c>
      <c r="B21" s="80" t="s">
        <v>106</v>
      </c>
      <c r="C21" s="81"/>
      <c r="D21" s="4" t="s">
        <v>95</v>
      </c>
      <c r="E21" s="4">
        <v>18</v>
      </c>
      <c r="F21" s="4">
        <v>18</v>
      </c>
      <c r="G21" s="4">
        <v>100</v>
      </c>
      <c r="H21" s="42">
        <v>97</v>
      </c>
      <c r="I21" s="46" t="s">
        <v>119</v>
      </c>
      <c r="J21" s="28">
        <f>E21*0.02*0.8</f>
        <v>0.28799999999999998</v>
      </c>
      <c r="K21" s="36"/>
    </row>
    <row r="22" spans="1:11" ht="14.25" customHeight="1">
      <c r="A22" s="38">
        <v>9</v>
      </c>
      <c r="B22" s="80" t="s">
        <v>107</v>
      </c>
      <c r="C22" s="81"/>
      <c r="D22" s="4" t="s">
        <v>95</v>
      </c>
      <c r="E22" s="4">
        <v>18</v>
      </c>
      <c r="F22" s="4">
        <v>18</v>
      </c>
      <c r="G22" s="4">
        <v>100</v>
      </c>
      <c r="H22" s="42">
        <v>97</v>
      </c>
      <c r="I22" s="46" t="s">
        <v>119</v>
      </c>
      <c r="J22" s="28">
        <f t="shared" ref="J22:J25" si="1">E22*0.02*0.8</f>
        <v>0.28799999999999998</v>
      </c>
      <c r="K22" s="36"/>
    </row>
    <row r="23" spans="1:11" ht="14.25" customHeight="1">
      <c r="A23" s="38">
        <v>10</v>
      </c>
      <c r="B23" s="80" t="s">
        <v>108</v>
      </c>
      <c r="C23" s="81"/>
      <c r="D23" s="4" t="s">
        <v>95</v>
      </c>
      <c r="E23" s="4">
        <v>18</v>
      </c>
      <c r="F23" s="4">
        <v>18</v>
      </c>
      <c r="G23" s="4">
        <v>100</v>
      </c>
      <c r="H23" s="42">
        <v>97</v>
      </c>
      <c r="I23" s="46" t="s">
        <v>119</v>
      </c>
      <c r="J23" s="28">
        <f t="shared" si="1"/>
        <v>0.28799999999999998</v>
      </c>
      <c r="K23" s="36"/>
    </row>
    <row r="24" spans="1:11" ht="14.25" customHeight="1">
      <c r="A24" s="38">
        <v>11</v>
      </c>
      <c r="B24" s="80" t="s">
        <v>109</v>
      </c>
      <c r="C24" s="81"/>
      <c r="D24" s="4" t="s">
        <v>95</v>
      </c>
      <c r="E24" s="4">
        <v>18</v>
      </c>
      <c r="F24" s="4">
        <v>18</v>
      </c>
      <c r="G24" s="4">
        <v>100</v>
      </c>
      <c r="H24" s="42">
        <v>97</v>
      </c>
      <c r="I24" s="46" t="s">
        <v>119</v>
      </c>
      <c r="J24" s="28">
        <f t="shared" si="1"/>
        <v>0.28799999999999998</v>
      </c>
      <c r="K24" s="36"/>
    </row>
    <row r="25" spans="1:11" ht="14.25" customHeight="1">
      <c r="A25" s="38">
        <v>12</v>
      </c>
      <c r="B25" s="80" t="s">
        <v>110</v>
      </c>
      <c r="C25" s="81"/>
      <c r="D25" s="4" t="s">
        <v>95</v>
      </c>
      <c r="E25" s="4">
        <v>18</v>
      </c>
      <c r="F25" s="4">
        <v>18</v>
      </c>
      <c r="G25" s="4">
        <v>100</v>
      </c>
      <c r="H25" s="42">
        <v>97</v>
      </c>
      <c r="I25" s="46" t="s">
        <v>119</v>
      </c>
      <c r="J25" s="28">
        <f t="shared" si="1"/>
        <v>0.28799999999999998</v>
      </c>
      <c r="K25" s="36"/>
    </row>
    <row r="26" spans="1:11">
      <c r="A26" s="38">
        <v>13</v>
      </c>
      <c r="B26" s="80" t="s">
        <v>125</v>
      </c>
      <c r="C26" s="81"/>
      <c r="D26" s="51" t="s">
        <v>115</v>
      </c>
      <c r="E26" s="4">
        <v>12</v>
      </c>
      <c r="F26" s="4">
        <v>12</v>
      </c>
      <c r="G26" s="4">
        <v>100</v>
      </c>
      <c r="H26" s="42">
        <v>99</v>
      </c>
      <c r="I26" s="46" t="s">
        <v>119</v>
      </c>
      <c r="J26" s="28">
        <f t="shared" ref="J26" si="2">E26*0.02*0.8</f>
        <v>0.192</v>
      </c>
      <c r="K26" s="36"/>
    </row>
    <row r="27" spans="1:11" ht="14.25" customHeight="1">
      <c r="A27" s="38">
        <v>14</v>
      </c>
      <c r="B27" s="90" t="s">
        <v>114</v>
      </c>
      <c r="C27" s="91"/>
      <c r="D27" s="51" t="s">
        <v>115</v>
      </c>
      <c r="E27" s="51">
        <v>1</v>
      </c>
      <c r="F27" s="51">
        <v>1</v>
      </c>
      <c r="G27" s="51">
        <v>100</v>
      </c>
      <c r="H27" s="52">
        <v>98</v>
      </c>
      <c r="I27" s="46" t="s">
        <v>119</v>
      </c>
      <c r="J27" s="28">
        <f t="shared" ref="J27" si="3">E27*0.02*0.8</f>
        <v>1.6E-2</v>
      </c>
      <c r="K27" s="53"/>
    </row>
    <row r="28" spans="1:11">
      <c r="A28" s="75" t="s">
        <v>113</v>
      </c>
      <c r="B28" s="88"/>
      <c r="C28" s="89"/>
      <c r="D28" s="37"/>
      <c r="E28" s="37"/>
      <c r="F28" s="37"/>
      <c r="G28" s="37"/>
      <c r="H28" s="48"/>
      <c r="I28" s="49"/>
      <c r="J28" s="50"/>
      <c r="K28" s="36"/>
    </row>
    <row r="29" spans="1:11">
      <c r="A29" s="38">
        <v>1</v>
      </c>
      <c r="B29" s="80" t="s">
        <v>104</v>
      </c>
      <c r="C29" s="81"/>
      <c r="D29" s="4"/>
      <c r="E29" s="22"/>
      <c r="F29" s="37"/>
      <c r="G29" s="4"/>
      <c r="H29" s="43"/>
      <c r="I29" s="5"/>
      <c r="J29" s="5"/>
      <c r="K29" s="6"/>
    </row>
    <row r="30" spans="1:11">
      <c r="A30" s="70" t="s">
        <v>73</v>
      </c>
      <c r="B30" s="71"/>
      <c r="C30" s="71"/>
      <c r="D30" s="71"/>
      <c r="E30" s="71"/>
      <c r="F30" s="71"/>
      <c r="G30" s="71"/>
      <c r="H30" s="71"/>
      <c r="I30" s="72"/>
      <c r="J30" s="7">
        <f>SUM(J14:J29)</f>
        <v>9.2480000000000011</v>
      </c>
      <c r="K30" s="32"/>
    </row>
    <row r="31" spans="1:11">
      <c r="A31" s="70" t="s">
        <v>28</v>
      </c>
      <c r="B31" s="71"/>
      <c r="C31" s="71"/>
      <c r="D31" s="71"/>
      <c r="E31" s="71"/>
      <c r="F31" s="72"/>
      <c r="G31" s="7">
        <f>AVERAGE(G14:G29)</f>
        <v>100</v>
      </c>
      <c r="H31" s="44">
        <f>AVERAGE(H14:H29)</f>
        <v>97.928571428571431</v>
      </c>
      <c r="I31" s="34"/>
      <c r="J31" s="86"/>
      <c r="K31" s="84"/>
    </row>
    <row r="32" spans="1:11">
      <c r="A32" s="70" t="s">
        <v>29</v>
      </c>
      <c r="B32" s="71"/>
      <c r="C32" s="71"/>
      <c r="D32" s="71"/>
      <c r="E32" s="71"/>
      <c r="F32" s="72"/>
      <c r="G32" s="93">
        <f>AVERAGE(G31:H31)</f>
        <v>98.964285714285722</v>
      </c>
      <c r="H32" s="94"/>
      <c r="I32" s="35"/>
      <c r="J32" s="87"/>
      <c r="K32" s="85"/>
    </row>
    <row r="33" spans="1:11">
      <c r="A33" s="8"/>
      <c r="B33" s="8"/>
      <c r="C33" s="8"/>
      <c r="D33" s="8"/>
      <c r="E33" s="8"/>
      <c r="F33" s="8"/>
      <c r="G33" s="8"/>
      <c r="H33" s="45"/>
      <c r="I33" s="8"/>
      <c r="J33" s="8"/>
      <c r="K33" s="9"/>
    </row>
    <row r="34" spans="1:11">
      <c r="A34" s="8"/>
      <c r="B34" s="30" t="s">
        <v>35</v>
      </c>
      <c r="C34" s="23"/>
      <c r="D34" s="8"/>
      <c r="G34" s="8"/>
      <c r="H34" s="45"/>
      <c r="I34" s="8"/>
      <c r="J34" s="8"/>
      <c r="K34" s="9"/>
    </row>
    <row r="35" spans="1:11">
      <c r="A35" s="8"/>
      <c r="B35" s="8" t="s">
        <v>126</v>
      </c>
      <c r="C35" s="10"/>
      <c r="D35" s="8"/>
      <c r="G35" s="8"/>
      <c r="H35" s="45"/>
      <c r="I35" s="8"/>
      <c r="J35" s="8"/>
      <c r="K35" s="9"/>
    </row>
    <row r="36" spans="1:11" ht="9" customHeight="1">
      <c r="A36" s="8"/>
      <c r="B36" s="8"/>
      <c r="C36" s="8"/>
      <c r="D36" s="8"/>
      <c r="E36" s="8"/>
      <c r="F36" s="8"/>
      <c r="G36" s="8"/>
      <c r="H36" s="45"/>
      <c r="I36" s="8"/>
      <c r="J36" s="8"/>
      <c r="K36" s="9"/>
    </row>
    <row r="37" spans="1:11" ht="15" customHeight="1">
      <c r="A37" s="8"/>
      <c r="C37" s="10" t="s">
        <v>7</v>
      </c>
      <c r="D37" s="8"/>
      <c r="F37" s="92" t="s">
        <v>6</v>
      </c>
      <c r="G37" s="92"/>
      <c r="H37" s="92"/>
      <c r="I37" s="10"/>
      <c r="J37" s="10"/>
      <c r="K37" s="9"/>
    </row>
    <row r="38" spans="1:11" ht="34.5" customHeight="1">
      <c r="A38" s="8"/>
      <c r="C38" s="22"/>
      <c r="D38" s="8"/>
      <c r="G38" s="10"/>
      <c r="H38" s="45"/>
      <c r="I38" s="8"/>
      <c r="J38" s="8"/>
      <c r="K38" s="9"/>
    </row>
    <row r="39" spans="1:11" ht="15" customHeight="1">
      <c r="A39" s="8"/>
      <c r="C39" s="10" t="s">
        <v>101</v>
      </c>
      <c r="D39" s="8"/>
      <c r="F39" s="92" t="s">
        <v>118</v>
      </c>
      <c r="G39" s="92"/>
      <c r="H39" s="92"/>
      <c r="I39" s="10"/>
      <c r="J39" s="10"/>
      <c r="K39" s="9"/>
    </row>
    <row r="40" spans="1:11" ht="15" customHeight="1">
      <c r="A40" s="8"/>
      <c r="C40" s="10" t="s">
        <v>100</v>
      </c>
      <c r="D40" s="8"/>
      <c r="F40" s="92" t="s">
        <v>117</v>
      </c>
      <c r="G40" s="92"/>
      <c r="H40" s="92"/>
      <c r="I40" s="10"/>
      <c r="J40" s="10"/>
      <c r="K40" s="9"/>
    </row>
    <row r="41" spans="1:11" ht="2.25" customHeight="1">
      <c r="A41" s="8"/>
      <c r="B41" s="8"/>
      <c r="C41" s="8"/>
      <c r="D41" s="8"/>
      <c r="E41" s="8"/>
      <c r="F41" s="8"/>
      <c r="G41" s="8"/>
      <c r="H41" s="45"/>
      <c r="I41" s="8"/>
      <c r="J41" s="8"/>
      <c r="K41" s="9"/>
    </row>
  </sheetData>
  <mergeCells count="36">
    <mergeCell ref="B18:C18"/>
    <mergeCell ref="B16:C16"/>
    <mergeCell ref="B20:C20"/>
    <mergeCell ref="F40:H40"/>
    <mergeCell ref="F39:H39"/>
    <mergeCell ref="A32:F32"/>
    <mergeCell ref="A31:F31"/>
    <mergeCell ref="G32:H32"/>
    <mergeCell ref="F37:H37"/>
    <mergeCell ref="K31:K32"/>
    <mergeCell ref="J31:J32"/>
    <mergeCell ref="B29:C29"/>
    <mergeCell ref="B19:C19"/>
    <mergeCell ref="B23:C23"/>
    <mergeCell ref="A30:I30"/>
    <mergeCell ref="B21:C21"/>
    <mergeCell ref="B22:C22"/>
    <mergeCell ref="B26:C26"/>
    <mergeCell ref="B25:C25"/>
    <mergeCell ref="B24:C24"/>
    <mergeCell ref="A28:C28"/>
    <mergeCell ref="B27:C27"/>
    <mergeCell ref="A13:C13"/>
    <mergeCell ref="H10:H11"/>
    <mergeCell ref="B14:C14"/>
    <mergeCell ref="B12:C12"/>
    <mergeCell ref="B17:C17"/>
    <mergeCell ref="B15:C15"/>
    <mergeCell ref="A3:K3"/>
    <mergeCell ref="A10:A11"/>
    <mergeCell ref="B10:C11"/>
    <mergeCell ref="D10:D11"/>
    <mergeCell ref="E10:G10"/>
    <mergeCell ref="K10:K11"/>
    <mergeCell ref="J10:J11"/>
    <mergeCell ref="I10:I11"/>
  </mergeCells>
  <printOptions horizontalCentered="1"/>
  <pageMargins left="0.23622047244094491" right="0.23622047244094491" top="0.23622047244094491" bottom="0.23622047244094491" header="0.19685039370078741" footer="0.19685039370078741"/>
  <pageSetup scale="63" fitToHeight="0" orientation="landscape" r:id="rId1"/>
  <rowBreaks count="1" manualBreakCount="1">
    <brk id="40"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tabSelected="1" view="pageBreakPreview" topLeftCell="A4" zoomScale="60" zoomScaleNormal="100" workbookViewId="0">
      <selection activeCell="H4" sqref="H4"/>
    </sheetView>
  </sheetViews>
  <sheetFormatPr defaultRowHeight="15"/>
  <cols>
    <col min="1" max="1" width="4.7109375" customWidth="1"/>
    <col min="2" max="2" width="13.28515625" customWidth="1"/>
    <col min="3" max="3" width="46.85546875" bestFit="1" customWidth="1"/>
    <col min="4" max="4" width="13.5703125" bestFit="1" customWidth="1"/>
    <col min="5" max="5" width="15.7109375" bestFit="1" customWidth="1"/>
    <col min="6" max="7" width="18.85546875" bestFit="1" customWidth="1"/>
    <col min="8" max="8" width="11" bestFit="1" customWidth="1"/>
  </cols>
  <sheetData>
    <row r="1" spans="1:8" ht="21.75" thickTop="1" thickBot="1">
      <c r="A1" s="1"/>
      <c r="B1" s="1"/>
      <c r="C1" s="1"/>
      <c r="D1" s="1"/>
      <c r="E1" s="1"/>
      <c r="F1" s="1"/>
      <c r="G1" s="1"/>
      <c r="H1" s="33" t="s">
        <v>128</v>
      </c>
    </row>
    <row r="2" spans="1:8" ht="21" thickTop="1">
      <c r="A2" s="64" t="s">
        <v>129</v>
      </c>
      <c r="B2" s="64"/>
      <c r="C2" s="64"/>
      <c r="D2" s="64"/>
      <c r="E2" s="64"/>
      <c r="F2" s="64"/>
      <c r="G2" s="64"/>
      <c r="H2" s="64"/>
    </row>
    <row r="3" spans="1:8">
      <c r="A3" s="1"/>
      <c r="B3" s="1"/>
      <c r="C3" s="1"/>
      <c r="D3" s="1"/>
      <c r="E3" s="1"/>
      <c r="F3" s="1"/>
      <c r="G3" s="1"/>
      <c r="H3" s="1"/>
    </row>
    <row r="4" spans="1:8">
      <c r="A4" s="1" t="s">
        <v>19</v>
      </c>
      <c r="B4" s="1"/>
      <c r="C4" s="1" t="s">
        <v>94</v>
      </c>
      <c r="D4" s="1"/>
      <c r="E4" s="1"/>
      <c r="F4" s="1"/>
      <c r="G4" s="1"/>
      <c r="H4" s="1"/>
    </row>
    <row r="5" spans="1:8">
      <c r="A5" s="1" t="s">
        <v>0</v>
      </c>
      <c r="B5" s="1"/>
      <c r="C5" s="1" t="s">
        <v>97</v>
      </c>
      <c r="D5" s="1"/>
      <c r="E5" s="1"/>
      <c r="F5" s="1"/>
      <c r="G5" s="1"/>
      <c r="H5" s="1"/>
    </row>
    <row r="6" spans="1:8">
      <c r="A6" s="1" t="s">
        <v>15</v>
      </c>
      <c r="B6" s="1"/>
      <c r="C6" s="1" t="s">
        <v>127</v>
      </c>
      <c r="D6" s="1"/>
      <c r="E6" s="1"/>
      <c r="F6" s="1"/>
      <c r="G6" s="1"/>
      <c r="H6" s="1"/>
    </row>
    <row r="7" spans="1:8">
      <c r="A7" s="1" t="s">
        <v>20</v>
      </c>
      <c r="B7" s="1"/>
      <c r="C7" s="1" t="s">
        <v>98</v>
      </c>
      <c r="D7" s="1"/>
      <c r="E7" s="1"/>
      <c r="F7" s="1"/>
      <c r="G7" s="1"/>
      <c r="H7" s="1"/>
    </row>
    <row r="8" spans="1:8">
      <c r="A8" s="1"/>
      <c r="B8" s="1"/>
      <c r="C8" s="1"/>
      <c r="D8" s="1"/>
      <c r="E8" s="1"/>
      <c r="F8" s="1"/>
      <c r="G8" s="1"/>
      <c r="H8" s="1"/>
    </row>
    <row r="9" spans="1:8">
      <c r="A9" s="65" t="s">
        <v>1</v>
      </c>
      <c r="B9" s="66" t="s">
        <v>2</v>
      </c>
      <c r="C9" s="67"/>
      <c r="D9" s="65" t="s">
        <v>3</v>
      </c>
      <c r="E9" s="73" t="s">
        <v>130</v>
      </c>
      <c r="F9" s="73" t="s">
        <v>93</v>
      </c>
      <c r="G9" s="73" t="s">
        <v>48</v>
      </c>
      <c r="H9" s="65" t="s">
        <v>14</v>
      </c>
    </row>
    <row r="10" spans="1:8">
      <c r="A10" s="65"/>
      <c r="B10" s="68"/>
      <c r="C10" s="69"/>
      <c r="D10" s="65"/>
      <c r="E10" s="74"/>
      <c r="F10" s="74"/>
      <c r="G10" s="74"/>
      <c r="H10" s="65"/>
    </row>
    <row r="11" spans="1:8">
      <c r="A11" s="3">
        <v>-1</v>
      </c>
      <c r="B11" s="82">
        <f>A11-1</f>
        <v>-2</v>
      </c>
      <c r="C11" s="83"/>
      <c r="D11" s="3">
        <f>B11-1</f>
        <v>-3</v>
      </c>
      <c r="E11" s="3">
        <f>D11-1</f>
        <v>-4</v>
      </c>
      <c r="F11" s="3">
        <f>E11-1</f>
        <v>-5</v>
      </c>
      <c r="G11" s="3">
        <f>F11-1</f>
        <v>-6</v>
      </c>
      <c r="H11" s="3">
        <f>G11-1</f>
        <v>-7</v>
      </c>
    </row>
    <row r="12" spans="1:8">
      <c r="A12" s="95" t="s">
        <v>37</v>
      </c>
      <c r="B12" s="96"/>
      <c r="C12" s="97"/>
      <c r="D12" s="24"/>
      <c r="E12" s="24"/>
      <c r="F12" s="24"/>
      <c r="G12" s="24"/>
      <c r="H12" s="24"/>
    </row>
    <row r="13" spans="1:8">
      <c r="A13" s="38">
        <v>1</v>
      </c>
      <c r="B13" s="80" t="s">
        <v>111</v>
      </c>
      <c r="C13" s="81"/>
      <c r="D13" s="4" t="s">
        <v>67</v>
      </c>
      <c r="E13" s="4">
        <v>6</v>
      </c>
      <c r="F13" s="46" t="s">
        <v>119</v>
      </c>
      <c r="G13" s="28">
        <f>E13*0.02*0.8</f>
        <v>9.6000000000000002E-2</v>
      </c>
      <c r="H13" s="6"/>
    </row>
    <row r="14" spans="1:8">
      <c r="A14" s="38">
        <v>2</v>
      </c>
      <c r="B14" s="80" t="s">
        <v>99</v>
      </c>
      <c r="C14" s="81"/>
      <c r="D14" s="4" t="s">
        <v>67</v>
      </c>
      <c r="E14" s="4">
        <v>45</v>
      </c>
      <c r="F14" s="46" t="s">
        <v>119</v>
      </c>
      <c r="G14" s="28">
        <f>E14*0.02*0.8</f>
        <v>0.72000000000000008</v>
      </c>
      <c r="H14" s="6"/>
    </row>
    <row r="15" spans="1:8">
      <c r="A15" s="38">
        <v>3</v>
      </c>
      <c r="B15" s="80" t="s">
        <v>116</v>
      </c>
      <c r="C15" s="81"/>
      <c r="D15" s="28" t="s">
        <v>67</v>
      </c>
      <c r="E15" s="4">
        <v>205</v>
      </c>
      <c r="F15" s="46" t="s">
        <v>119</v>
      </c>
      <c r="G15" s="28">
        <f t="shared" ref="G15:G16" si="0">E15*0.02*0.8</f>
        <v>3.28</v>
      </c>
      <c r="H15" s="6"/>
    </row>
    <row r="16" spans="1:8">
      <c r="A16" s="38">
        <v>4</v>
      </c>
      <c r="B16" s="80" t="s">
        <v>102</v>
      </c>
      <c r="C16" s="81"/>
      <c r="D16" s="28" t="s">
        <v>67</v>
      </c>
      <c r="E16" s="4">
        <v>205</v>
      </c>
      <c r="F16" s="46" t="s">
        <v>119</v>
      </c>
      <c r="G16" s="28">
        <f t="shared" si="0"/>
        <v>3.28</v>
      </c>
      <c r="H16" s="6"/>
    </row>
    <row r="17" spans="1:8">
      <c r="A17" s="38">
        <v>5</v>
      </c>
      <c r="B17" s="80" t="s">
        <v>124</v>
      </c>
      <c r="C17" s="81"/>
      <c r="D17" s="4" t="s">
        <v>103</v>
      </c>
      <c r="E17" s="4">
        <v>100</v>
      </c>
      <c r="F17" s="46" t="s">
        <v>123</v>
      </c>
      <c r="G17" s="28">
        <f>E17*0.001*0.8</f>
        <v>8.0000000000000016E-2</v>
      </c>
      <c r="H17" s="6"/>
    </row>
    <row r="18" spans="1:8">
      <c r="A18" s="38">
        <v>6</v>
      </c>
      <c r="B18" s="80" t="s">
        <v>105</v>
      </c>
      <c r="C18" s="81"/>
      <c r="D18" s="4" t="s">
        <v>67</v>
      </c>
      <c r="E18" s="4">
        <v>9</v>
      </c>
      <c r="F18" s="46" t="s">
        <v>119</v>
      </c>
      <c r="G18" s="28">
        <f>E18*0.02*0.8</f>
        <v>0.14399999999999999</v>
      </c>
      <c r="H18" s="6"/>
    </row>
    <row r="19" spans="1:8">
      <c r="A19" s="38">
        <v>7</v>
      </c>
      <c r="B19" s="80" t="s">
        <v>112</v>
      </c>
      <c r="C19" s="81"/>
      <c r="D19" s="4" t="s">
        <v>122</v>
      </c>
      <c r="E19" s="4">
        <v>1</v>
      </c>
      <c r="F19" s="46" t="s">
        <v>120</v>
      </c>
      <c r="G19" s="28" t="s">
        <v>121</v>
      </c>
      <c r="H19" s="6"/>
    </row>
    <row r="20" spans="1:8">
      <c r="A20" s="38">
        <v>8</v>
      </c>
      <c r="B20" s="80" t="s">
        <v>106</v>
      </c>
      <c r="C20" s="81"/>
      <c r="D20" s="4" t="s">
        <v>95</v>
      </c>
      <c r="E20" s="4">
        <v>18</v>
      </c>
      <c r="F20" s="46" t="s">
        <v>119</v>
      </c>
      <c r="G20" s="28">
        <f>E20*0.02*0.8</f>
        <v>0.28799999999999998</v>
      </c>
      <c r="H20" s="6"/>
    </row>
    <row r="21" spans="1:8">
      <c r="A21" s="38">
        <v>9</v>
      </c>
      <c r="B21" s="80" t="s">
        <v>107</v>
      </c>
      <c r="C21" s="81"/>
      <c r="D21" s="4" t="s">
        <v>95</v>
      </c>
      <c r="E21" s="4">
        <v>18</v>
      </c>
      <c r="F21" s="46" t="s">
        <v>119</v>
      </c>
      <c r="G21" s="28">
        <f>E21*0.02*0.8</f>
        <v>0.28799999999999998</v>
      </c>
      <c r="H21" s="6"/>
    </row>
    <row r="22" spans="1:8">
      <c r="A22" s="38">
        <v>10</v>
      </c>
      <c r="B22" s="80" t="s">
        <v>108</v>
      </c>
      <c r="C22" s="81"/>
      <c r="D22" s="4" t="s">
        <v>95</v>
      </c>
      <c r="E22" s="4">
        <v>18</v>
      </c>
      <c r="F22" s="46" t="s">
        <v>119</v>
      </c>
      <c r="G22" s="28">
        <f>E22*0.02*0.8</f>
        <v>0.28799999999999998</v>
      </c>
      <c r="H22" s="6"/>
    </row>
    <row r="23" spans="1:8">
      <c r="A23" s="38">
        <v>11</v>
      </c>
      <c r="B23" s="80" t="s">
        <v>109</v>
      </c>
      <c r="C23" s="81"/>
      <c r="D23" s="4" t="s">
        <v>95</v>
      </c>
      <c r="E23" s="4">
        <v>18</v>
      </c>
      <c r="F23" s="46" t="s">
        <v>119</v>
      </c>
      <c r="G23" s="28">
        <f>E23*0.02*0.8</f>
        <v>0.28799999999999998</v>
      </c>
      <c r="H23" s="6"/>
    </row>
    <row r="24" spans="1:8">
      <c r="A24" s="38">
        <v>12</v>
      </c>
      <c r="B24" s="80" t="s">
        <v>110</v>
      </c>
      <c r="C24" s="81"/>
      <c r="D24" s="4" t="s">
        <v>95</v>
      </c>
      <c r="E24" s="4">
        <v>18</v>
      </c>
      <c r="F24" s="46" t="s">
        <v>119</v>
      </c>
      <c r="G24" s="28">
        <f>E24*0.02*0.8</f>
        <v>0.28799999999999998</v>
      </c>
      <c r="H24" s="6"/>
    </row>
    <row r="25" spans="1:8">
      <c r="A25" s="38">
        <v>13</v>
      </c>
      <c r="B25" s="80" t="s">
        <v>125</v>
      </c>
      <c r="C25" s="81"/>
      <c r="D25" s="51" t="s">
        <v>115</v>
      </c>
      <c r="E25" s="4">
        <v>12</v>
      </c>
      <c r="F25" s="46" t="s">
        <v>119</v>
      </c>
      <c r="G25" s="28">
        <f>E25*0.02*0.8</f>
        <v>0.192</v>
      </c>
      <c r="H25" s="6"/>
    </row>
    <row r="26" spans="1:8">
      <c r="A26" s="38">
        <v>14</v>
      </c>
      <c r="B26" s="90" t="s">
        <v>114</v>
      </c>
      <c r="C26" s="91"/>
      <c r="D26" s="51" t="s">
        <v>115</v>
      </c>
      <c r="E26" s="51">
        <v>1</v>
      </c>
      <c r="F26" s="46" t="s">
        <v>119</v>
      </c>
      <c r="G26" s="28">
        <f>E26*0.02*0.8</f>
        <v>1.6E-2</v>
      </c>
      <c r="H26" s="6"/>
    </row>
    <row r="27" spans="1:8">
      <c r="A27" s="70" t="s">
        <v>73</v>
      </c>
      <c r="B27" s="71"/>
      <c r="C27" s="71"/>
      <c r="D27" s="71"/>
      <c r="E27" s="71"/>
      <c r="F27" s="72"/>
      <c r="G27" s="55">
        <f>SUM(G12:G26)</f>
        <v>9.2480000000000011</v>
      </c>
      <c r="H27" s="98"/>
    </row>
    <row r="28" spans="1:8">
      <c r="A28" s="8"/>
      <c r="B28" s="8"/>
      <c r="C28" s="8"/>
      <c r="D28" s="8"/>
      <c r="E28" s="8"/>
      <c r="F28" s="8"/>
      <c r="G28" s="8"/>
      <c r="H28" s="9"/>
    </row>
    <row r="29" spans="1:8">
      <c r="A29" s="8"/>
      <c r="B29" s="30" t="s">
        <v>131</v>
      </c>
      <c r="C29" s="1"/>
      <c r="D29" s="8"/>
      <c r="E29" s="1"/>
      <c r="F29" s="1"/>
      <c r="G29" s="8"/>
      <c r="H29" s="9"/>
    </row>
    <row r="30" spans="1:8">
      <c r="A30" s="8"/>
      <c r="B30" s="8" t="s">
        <v>132</v>
      </c>
      <c r="C30" s="1"/>
      <c r="D30" s="8"/>
      <c r="E30" s="1"/>
      <c r="F30" s="1"/>
      <c r="G30" s="8"/>
      <c r="H30" s="9"/>
    </row>
    <row r="31" spans="1:8">
      <c r="A31" s="8"/>
      <c r="B31" s="8"/>
      <c r="C31" s="8"/>
      <c r="D31" s="8"/>
      <c r="E31" s="8"/>
      <c r="F31" s="8"/>
      <c r="G31" s="8"/>
      <c r="H31" s="9"/>
    </row>
    <row r="32" spans="1:8">
      <c r="A32" s="8"/>
      <c r="B32" s="1"/>
      <c r="C32" s="54" t="s">
        <v>7</v>
      </c>
      <c r="D32" s="8"/>
      <c r="E32" s="1"/>
      <c r="F32" s="92" t="s">
        <v>6</v>
      </c>
      <c r="G32" s="92"/>
      <c r="H32" s="92"/>
    </row>
    <row r="33" spans="1:8">
      <c r="A33" s="8"/>
      <c r="B33" s="1"/>
      <c r="C33" s="22"/>
      <c r="D33" s="8"/>
      <c r="E33" s="1"/>
      <c r="F33" s="1"/>
      <c r="G33" s="54"/>
      <c r="H33" s="45"/>
    </row>
    <row r="34" spans="1:8">
      <c r="A34" s="8"/>
      <c r="B34" s="1"/>
      <c r="C34" s="54" t="s">
        <v>101</v>
      </c>
      <c r="D34" s="8"/>
      <c r="E34" s="1"/>
      <c r="F34" s="92" t="s">
        <v>118</v>
      </c>
      <c r="G34" s="92"/>
      <c r="H34" s="92"/>
    </row>
    <row r="35" spans="1:8">
      <c r="A35" s="8"/>
      <c r="B35" s="1"/>
      <c r="C35" s="54" t="s">
        <v>100</v>
      </c>
      <c r="D35" s="8"/>
      <c r="E35" s="1"/>
      <c r="F35" s="92" t="s">
        <v>117</v>
      </c>
      <c r="G35" s="92"/>
      <c r="H35" s="92"/>
    </row>
    <row r="36" spans="1:8">
      <c r="A36" s="8"/>
      <c r="B36" s="8"/>
      <c r="C36" s="8"/>
      <c r="D36" s="8"/>
      <c r="E36" s="8"/>
      <c r="F36" s="8"/>
      <c r="G36" s="8"/>
      <c r="H36" s="9"/>
    </row>
  </sheetData>
  <mergeCells count="28">
    <mergeCell ref="F35:H35"/>
    <mergeCell ref="B14:C14"/>
    <mergeCell ref="B15:C15"/>
    <mergeCell ref="B16:C16"/>
    <mergeCell ref="B17:C17"/>
    <mergeCell ref="B18:C18"/>
    <mergeCell ref="B19:C19"/>
    <mergeCell ref="B20:C20"/>
    <mergeCell ref="B21:C21"/>
    <mergeCell ref="B25:C25"/>
    <mergeCell ref="B26:C26"/>
    <mergeCell ref="A27:F27"/>
    <mergeCell ref="F32:H32"/>
    <mergeCell ref="F34:H34"/>
    <mergeCell ref="B11:C11"/>
    <mergeCell ref="A12:C12"/>
    <mergeCell ref="B13:C13"/>
    <mergeCell ref="B22:C22"/>
    <mergeCell ref="B23:C23"/>
    <mergeCell ref="B24:C24"/>
    <mergeCell ref="A2:H2"/>
    <mergeCell ref="A9:A10"/>
    <mergeCell ref="B9:C10"/>
    <mergeCell ref="D9:D10"/>
    <mergeCell ref="E9:E10"/>
    <mergeCell ref="F9:F10"/>
    <mergeCell ref="G9:G10"/>
    <mergeCell ref="H9:H10"/>
  </mergeCells>
  <pageMargins left="0.7" right="0.7" top="0.75" bottom="0.75" header="0.3" footer="0.3"/>
  <pageSetup paperSize="9" scale="9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workbookViewId="0">
      <selection activeCell="E10" sqref="E10"/>
    </sheetView>
  </sheetViews>
  <sheetFormatPr defaultRowHeight="15"/>
  <cols>
    <col min="1" max="1" width="12.42578125" bestFit="1" customWidth="1"/>
  </cols>
  <sheetData>
    <row r="2" spans="1:4">
      <c r="B2" t="s">
        <v>61</v>
      </c>
      <c r="D2" t="s">
        <v>60</v>
      </c>
    </row>
    <row r="4" spans="1:4">
      <c r="A4" t="s">
        <v>50</v>
      </c>
      <c r="B4">
        <v>3</v>
      </c>
      <c r="D4">
        <v>3</v>
      </c>
    </row>
    <row r="5" spans="1:4">
      <c r="A5" t="s">
        <v>51</v>
      </c>
      <c r="B5">
        <v>2</v>
      </c>
      <c r="C5" t="s">
        <v>52</v>
      </c>
      <c r="D5">
        <v>5</v>
      </c>
    </row>
    <row r="6" spans="1:4">
      <c r="A6" t="s">
        <v>53</v>
      </c>
      <c r="B6">
        <v>2</v>
      </c>
      <c r="D6">
        <v>7</v>
      </c>
    </row>
    <row r="7" spans="1:4">
      <c r="A7" t="s">
        <v>54</v>
      </c>
    </row>
    <row r="8" spans="1:4">
      <c r="A8" t="s">
        <v>55</v>
      </c>
      <c r="B8">
        <v>1</v>
      </c>
      <c r="D8">
        <v>8</v>
      </c>
    </row>
    <row r="9" spans="1:4">
      <c r="A9" t="s">
        <v>56</v>
      </c>
      <c r="B9">
        <v>2</v>
      </c>
      <c r="D9">
        <v>10</v>
      </c>
    </row>
    <row r="10" spans="1:4">
      <c r="A10" t="s">
        <v>57</v>
      </c>
      <c r="B10">
        <v>2</v>
      </c>
      <c r="D10">
        <v>12</v>
      </c>
    </row>
    <row r="11" spans="1:4">
      <c r="A11" t="s">
        <v>58</v>
      </c>
      <c r="B11">
        <v>2</v>
      </c>
      <c r="D11">
        <v>14</v>
      </c>
    </row>
    <row r="12" spans="1:4">
      <c r="A12" t="s">
        <v>59</v>
      </c>
      <c r="B12">
        <v>1</v>
      </c>
      <c r="D12">
        <v>15</v>
      </c>
    </row>
    <row r="13" spans="1:4">
      <c r="A13" t="s">
        <v>49</v>
      </c>
      <c r="B13">
        <v>0</v>
      </c>
    </row>
    <row r="15" spans="1:4">
      <c r="B15">
        <f>SUM(B5:B14)</f>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penjelasan CKP</vt:lpstr>
      <vt:lpstr>daftar CKP-R</vt:lpstr>
      <vt:lpstr>daftar CKP-T</vt:lpstr>
      <vt:lpstr>Sheet1</vt:lpstr>
      <vt:lpstr>'daftar CKP-T'!Print_Area</vt:lpstr>
      <vt:lpstr>'penjelasan CKP'!Print_Area</vt:lpstr>
      <vt:lpstr>'daftar CKP-R'!Print_Titles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Haidir Magribi</cp:lastModifiedBy>
  <cp:lastPrinted>2016-03-11T03:46:57Z</cp:lastPrinted>
  <dcterms:created xsi:type="dcterms:W3CDTF">2013-04-05T06:44:32Z</dcterms:created>
  <dcterms:modified xsi:type="dcterms:W3CDTF">2016-03-11T03:47:18Z</dcterms:modified>
</cp:coreProperties>
</file>