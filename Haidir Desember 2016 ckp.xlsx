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90" windowHeight="7095" activeTab="2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Okt14'!$A$2:$K$50</definedName>
    <definedName name="_xlnm.Print_Area" localSheetId="0">'CKP-T Okt14'!$A$2:$I$36</definedName>
    <definedName name="_xlnm.Print_Area" localSheetId="1">'LP Okt14'!$A$1:$H$106</definedName>
  </definedNames>
  <calcPr calcId="145621"/>
</workbook>
</file>

<file path=xl/calcChain.xml><?xml version="1.0" encoding="utf-8"?>
<calcChain xmlns="http://schemas.openxmlformats.org/spreadsheetml/2006/main">
  <c r="I39" i="2" l="1"/>
  <c r="J20" i="2"/>
  <c r="G20" i="2"/>
  <c r="G90" i="3"/>
  <c r="G85" i="3"/>
  <c r="G68" i="3"/>
  <c r="G69" i="3"/>
  <c r="G70" i="3"/>
  <c r="G71" i="3"/>
  <c r="G72" i="3"/>
  <c r="G73" i="3"/>
  <c r="G74" i="3"/>
  <c r="G75" i="3"/>
  <c r="G76" i="3"/>
  <c r="G77" i="3"/>
  <c r="G78" i="3"/>
  <c r="G62" i="3"/>
  <c r="G63" i="3"/>
  <c r="G64" i="3"/>
  <c r="G65" i="3"/>
  <c r="G66" i="3"/>
  <c r="G57" i="3"/>
  <c r="G52" i="3"/>
  <c r="G32" i="3"/>
  <c r="G33" i="3"/>
  <c r="G34" i="3"/>
  <c r="G29" i="3"/>
  <c r="G30" i="3"/>
  <c r="G27" i="3"/>
  <c r="G28" i="3"/>
  <c r="G20" i="3"/>
  <c r="G21" i="3"/>
  <c r="G22" i="3"/>
  <c r="G23" i="3"/>
  <c r="G41" i="3" l="1"/>
  <c r="G42" i="3"/>
  <c r="G87" i="3"/>
  <c r="G88" i="3"/>
  <c r="G91" i="3"/>
  <c r="G21" i="2"/>
  <c r="J21" i="2"/>
  <c r="G80" i="3"/>
  <c r="G81" i="3"/>
  <c r="G51" i="3"/>
  <c r="G79" i="3"/>
  <c r="G15" i="3" l="1"/>
  <c r="G19" i="2" l="1"/>
  <c r="J19" i="2"/>
  <c r="G18" i="2"/>
  <c r="J18" i="2"/>
  <c r="G15" i="2"/>
  <c r="G16" i="2"/>
  <c r="G17" i="2"/>
  <c r="G14" i="2"/>
  <c r="J17" i="2"/>
  <c r="J14" i="2"/>
  <c r="J15" i="2"/>
  <c r="J16" i="2"/>
  <c r="J22" i="2" l="1"/>
  <c r="G84" i="3"/>
  <c r="G58" i="3"/>
  <c r="G50" i="3"/>
  <c r="G46" i="3"/>
  <c r="G45" i="3"/>
  <c r="G43" i="3"/>
  <c r="G44" i="3"/>
  <c r="G26" i="3"/>
  <c r="G18" i="3"/>
  <c r="G19" i="3"/>
  <c r="G13" i="3"/>
  <c r="G14" i="3"/>
  <c r="G94" i="3"/>
  <c r="G31" i="3" l="1"/>
  <c r="G93" i="3" l="1"/>
  <c r="G92" i="3"/>
  <c r="G89" i="3"/>
  <c r="G86" i="3"/>
  <c r="G83" i="3"/>
  <c r="G82" i="3"/>
  <c r="G38" i="3"/>
  <c r="G39" i="3"/>
  <c r="G40" i="3"/>
  <c r="G47" i="3"/>
  <c r="G48" i="3"/>
  <c r="G49" i="3"/>
  <c r="G53" i="3"/>
  <c r="G54" i="3"/>
  <c r="G55" i="3"/>
  <c r="G56" i="3"/>
  <c r="G59" i="3"/>
  <c r="G60" i="3"/>
  <c r="G61" i="3"/>
  <c r="G67" i="3"/>
  <c r="G35" i="3" l="1"/>
  <c r="G36" i="3"/>
  <c r="G37" i="3"/>
  <c r="G25" i="3"/>
  <c r="G24" i="3"/>
  <c r="G17" i="3" l="1"/>
  <c r="G16" i="3"/>
  <c r="G12" i="3"/>
  <c r="G11" i="3"/>
  <c r="H38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38" i="2"/>
  <c r="G39" i="2" s="1"/>
</calcChain>
</file>

<file path=xl/sharedStrings.xml><?xml version="1.0" encoding="utf-8"?>
<sst xmlns="http://schemas.openxmlformats.org/spreadsheetml/2006/main" count="354" uniqueCount="133">
  <si>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</si>
  <si>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</si>
  <si>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</si>
  <si>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</si>
  <si>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</si>
  <si>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</si>
  <si>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</si>
  <si>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</si>
  <si>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</si>
  <si>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</si>
  <si>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</si>
  <si>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</si>
  <si>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</si>
  <si>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</si>
  <si>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</si>
  <si>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</si>
  <si>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</si>
  <si>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</si>
  <si>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</si>
  <si>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</si>
  <si>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</si>
  <si>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</si>
  <si>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</si>
  <si>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</si>
  <si>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</si>
  <si>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</si>
  <si>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</si>
  <si>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</si>
  <si>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</si>
  <si>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</si>
  <si>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</si>
  <si>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</si>
  <si>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</si>
  <si>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</si>
  <si>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</si>
  <si>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</si>
  <si>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</si>
  <si>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</si>
  <si>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</si>
  <si>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</si>
  <si>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</si>
  <si>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</si>
  <si>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</si>
  <si>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</si>
  <si>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</si>
  <si>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Senin</t>
  </si>
  <si>
    <t>Selasa</t>
  </si>
  <si>
    <t>TARGET KINERJA PEGAWAI TAHUN 2016</t>
  </si>
  <si>
    <t>CAPAIAN KINERJA PEGAWAI TAHUN 2016</t>
  </si>
  <si>
    <t>Melayani permintaan data</t>
  </si>
  <si>
    <t>Tanggal:</t>
  </si>
  <si>
    <t>Kesepakatan Kinerja</t>
  </si>
  <si>
    <t>Rabu</t>
  </si>
  <si>
    <t>Kamis</t>
  </si>
  <si>
    <t>tabel</t>
  </si>
  <si>
    <t>unit-update</t>
  </si>
  <si>
    <r>
      <t xml:space="preserve">upload tabel dinamis ke </t>
    </r>
    <r>
      <rPr>
        <i/>
        <sz val="11"/>
        <color theme="1"/>
        <rFont val="Calibri"/>
        <family val="2"/>
        <scheme val="minor"/>
      </rPr>
      <t>website</t>
    </r>
  </si>
  <si>
    <t>Memperbaiki Jaringan</t>
  </si>
  <si>
    <t>Mengelola Website BPS Kota Bontang</t>
  </si>
  <si>
    <t>Upload infoGrafis di Website</t>
  </si>
  <si>
    <t>Perawatan Jaringan</t>
  </si>
  <si>
    <r>
      <t xml:space="preserve">Upload Tabel statis di </t>
    </r>
    <r>
      <rPr>
        <i/>
        <sz val="11"/>
        <color theme="1"/>
        <rFont val="Calibri"/>
        <family val="2"/>
        <scheme val="minor"/>
      </rPr>
      <t>Website</t>
    </r>
  </si>
  <si>
    <t>Rekap Absensi</t>
  </si>
  <si>
    <t>Rapat Bersama Kepala BPS</t>
  </si>
  <si>
    <t>Membuat Surat Pengantar</t>
  </si>
  <si>
    <t>Mengelola Absen Online</t>
  </si>
  <si>
    <t>.</t>
  </si>
  <si>
    <t>UTAMA</t>
  </si>
  <si>
    <t>TAMBAHAN</t>
  </si>
  <si>
    <t>Print Kartu pegawai</t>
  </si>
  <si>
    <t>Membuat daftar Gaji</t>
  </si>
  <si>
    <t>: Desember 2016</t>
  </si>
  <si>
    <t>18 Desember 2016</t>
  </si>
  <si>
    <t>Melayani Permintaan data</t>
  </si>
  <si>
    <t>Olahraga</t>
  </si>
  <si>
    <t>Membuat Surat Perjalanan Dinas</t>
  </si>
  <si>
    <t>Publikasi</t>
  </si>
  <si>
    <t>Perbaikan Scanner</t>
  </si>
  <si>
    <t>Entri TK</t>
  </si>
  <si>
    <t>Mengelola tabel website</t>
  </si>
  <si>
    <t>Membuat SPPD</t>
  </si>
  <si>
    <t>Jumat</t>
  </si>
  <si>
    <t>Rapat Stat cap Cerdas</t>
  </si>
  <si>
    <t>Membuat Uang makan Desember</t>
  </si>
  <si>
    <t>Membuat SPP TK</t>
  </si>
  <si>
    <t>Membuat SPM Uang Makan</t>
  </si>
  <si>
    <t>Membuat SPP GU</t>
  </si>
  <si>
    <t>Membuata SPM SPMTN</t>
  </si>
  <si>
    <t>Membuat surat pengantar mandiri</t>
  </si>
  <si>
    <t>Mengurus proses lelang motor</t>
  </si>
  <si>
    <t>membuat Surat Tugas</t>
  </si>
  <si>
    <t>Mengumpulkan CKP</t>
  </si>
  <si>
    <t>jumat</t>
  </si>
  <si>
    <t>Download aplikasi SAS 2017</t>
  </si>
  <si>
    <t>Instal Aplikasi SAS 2017</t>
  </si>
  <si>
    <t>Rekam Kenaikan Pangkat Buyung</t>
  </si>
  <si>
    <t>Rekam Gaji Januari</t>
  </si>
  <si>
    <t>Print gaji januari</t>
  </si>
  <si>
    <t>Update Gpp</t>
  </si>
  <si>
    <t>Membuat  Berita acara Serah terima lelang</t>
  </si>
  <si>
    <t>Rapat Statcap Cerdas</t>
  </si>
  <si>
    <t>Membuat SPP Gaji</t>
  </si>
  <si>
    <t>Membuat SPM Gaji</t>
  </si>
  <si>
    <t>Mengupdate daftar pegawai</t>
  </si>
  <si>
    <t>Instalasi OS Komputer</t>
  </si>
  <si>
    <t>Instal Aplikasi Office dkk</t>
  </si>
  <si>
    <t>Instal Printer dan Scanner</t>
  </si>
  <si>
    <t>Survei harga Tinta</t>
  </si>
  <si>
    <t>Servis komputer</t>
  </si>
  <si>
    <t>Pengcekan Upgrade RAM</t>
  </si>
  <si>
    <t>Instalasi Komputer</t>
  </si>
  <si>
    <t>Rekap Absen Desember</t>
  </si>
  <si>
    <t>Rekap Absen Eselon 3 setahun</t>
  </si>
  <si>
    <t>Perbaikan Jaringan</t>
  </si>
  <si>
    <t>Rekap Absen Eselon 3</t>
  </si>
  <si>
    <t>Rekam Uang makan</t>
  </si>
  <si>
    <t>Olahraga persahabatan dengan BPS Kutim</t>
  </si>
  <si>
    <t>Pengelolaan Website BPS</t>
  </si>
  <si>
    <t>Perawatan Komputer</t>
  </si>
  <si>
    <t>Tanggal: 4 Januari 2016</t>
  </si>
  <si>
    <t>Menyuting Statistik Kesejahtraan Rakyat Kota Bontang Tahu 2015</t>
  </si>
  <si>
    <t>Perawatan dan Perbaikan Komputer</t>
  </si>
  <si>
    <t>Rabu-Kamis</t>
  </si>
  <si>
    <t>28/29-12-2016</t>
  </si>
  <si>
    <t>DL Ke provinsi Konsultasi Administrasi</t>
  </si>
  <si>
    <t>Membuat SK Kennaikan Pangkat Buyung</t>
  </si>
  <si>
    <t>Membuat SK KGB Totok</t>
  </si>
  <si>
    <t>Membuat SK  KGB Aisyah</t>
  </si>
  <si>
    <t>Rekam SK KGB Aisyah</t>
  </si>
  <si>
    <t>Membuat SK KGB Aisyah</t>
  </si>
  <si>
    <t>Rekam SK KGB Totok</t>
  </si>
  <si>
    <t>TOTAL</t>
  </si>
  <si>
    <t>: Januari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</si>
</sst>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53">
    <xf numFmtId="0" fontId="0" fillId="0" borderId="0" xfId="0"/>
    <xf numFmtId="0" fontId="4" fillId="0" borderId="0" xfId="0" applyFont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9" fontId="3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7" xfId="0" applyFont="1" applyFill="1" applyBorder="1" applyAlignment="1">
      <alignment vertical="center" wrapText="1"/>
    </xf>
    <xf numFmtId="164" fontId="0" fillId="0" borderId="7" xfId="0" applyNumberFormat="1" applyFont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16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/>
    <xf numFmtId="0" fontId="0" fillId="0" borderId="0" xfId="0" applyBorder="1" applyAlignment="1"/>
    <xf numFmtId="164" fontId="0" fillId="0" borderId="12" xfId="0" applyNumberFormat="1" applyBorder="1" applyAlignment="1">
      <alignment horizontal="center" vertical="center"/>
    </xf>
    <xf numFmtId="43" fontId="0" fillId="0" borderId="7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12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7" xfId="0" applyNumberFormat="1" applyFont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3" xfId="8" applyFont="1" applyBorder="1"/>
    <xf numFmtId="43" fontId="0" fillId="0" borderId="6" xfId="8" applyFont="1" applyBorder="1"/>
    <xf numFmtId="164" fontId="3" fillId="0" borderId="7" xfId="0" applyNumberFormat="1" applyFont="1" applyBorder="1" applyAlignment="1">
      <alignment horizontal="center" vertical="center"/>
    </xf>
    <xf numFmtId="0" fontId="0" fillId="0" borderId="19" xfId="0" applyBorder="1"/>
    <xf numFmtId="164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2" fontId="5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9" fontId="6" fillId="0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164" fontId="0" fillId="0" borderId="7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0" borderId="3" xfId="0" applyFont="1" applyFill="1" applyBorder="1" applyAlignment="1">
      <alignment vertical="center" wrapText="1"/>
    </xf>
    <xf numFmtId="0" fontId="5" fillId="0" borderId="3" xfId="0" applyFont="1" applyFill="1" applyBorder="1"/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/>
    </xf>
    <xf numFmtId="164" fontId="5" fillId="0" borderId="7" xfId="0" applyNumberFormat="1" applyFont="1" applyFill="1" applyBorder="1" applyAlignment="1">
      <alignment vertical="center"/>
    </xf>
    <xf numFmtId="14" fontId="6" fillId="0" borderId="3" xfId="0" applyNumberFormat="1" applyFont="1" applyFill="1" applyBorder="1" applyAlignment="1">
      <alignment vertical="center" wrapText="1"/>
    </xf>
    <xf numFmtId="0" fontId="5" fillId="0" borderId="1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6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43" fontId="0" fillId="0" borderId="13" xfId="0" applyNumberFormat="1" applyBorder="1"/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view="pageBreakPreview" zoomScaleNormal="100" zoomScaleSheetLayoutView="100" workbookViewId="0">
      <selection activeCell="C8" sqref="C8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87" t="s">
        <v>0</v>
      </c>
      <c r="I2" s="88"/>
    </row>
    <row r="3" spans="1:9" ht="18.75" x14ac:dyDescent="0.3">
      <c r="A3" s="89" t="s">
        <v>47</v>
      </c>
      <c r="B3" s="89"/>
      <c r="C3" s="89"/>
      <c r="D3" s="89"/>
      <c r="E3" s="89"/>
      <c r="F3" s="89"/>
      <c r="G3" s="89"/>
      <c r="H3" s="89"/>
      <c r="I3" s="89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7" t="s">
        <v>33</v>
      </c>
    </row>
    <row r="7" spans="1:9" x14ac:dyDescent="0.25">
      <c r="A7" t="s">
        <v>4</v>
      </c>
      <c r="C7" s="7" t="s">
        <v>34</v>
      </c>
    </row>
    <row r="8" spans="1:9" x14ac:dyDescent="0.25">
      <c r="A8" t="s">
        <v>5</v>
      </c>
      <c r="C8" t="s">
        <v>132</v>
      </c>
    </row>
    <row r="9" spans="1:9" x14ac:dyDescent="0.25">
      <c r="A9" s="90" t="s">
        <v>6</v>
      </c>
      <c r="B9" s="90" t="s">
        <v>7</v>
      </c>
      <c r="C9" s="90"/>
      <c r="D9" s="90" t="s">
        <v>8</v>
      </c>
      <c r="E9" s="90" t="s">
        <v>9</v>
      </c>
      <c r="F9" s="90"/>
      <c r="G9" s="90"/>
      <c r="H9" s="91" t="s">
        <v>10</v>
      </c>
      <c r="I9" s="90" t="s">
        <v>11</v>
      </c>
    </row>
    <row r="10" spans="1:9" x14ac:dyDescent="0.25">
      <c r="A10" s="90"/>
      <c r="B10" s="90"/>
      <c r="C10" s="90"/>
      <c r="D10" s="90"/>
      <c r="E10" s="40" t="s">
        <v>12</v>
      </c>
      <c r="F10" s="40" t="s">
        <v>13</v>
      </c>
      <c r="G10" s="40" t="s">
        <v>14</v>
      </c>
      <c r="H10" s="91"/>
      <c r="I10" s="90"/>
    </row>
    <row r="11" spans="1:9" x14ac:dyDescent="0.25">
      <c r="A11" s="39">
        <v>-1</v>
      </c>
      <c r="B11" s="86">
        <f>A11-1</f>
        <v>-2</v>
      </c>
      <c r="C11" s="86"/>
      <c r="D11" s="39">
        <f>B11-1</f>
        <v>-3</v>
      </c>
      <c r="E11" s="46">
        <f>D11-1</f>
        <v>-4</v>
      </c>
      <c r="F11" s="46">
        <f>E11-1</f>
        <v>-5</v>
      </c>
      <c r="G11" s="46">
        <f>F11-1</f>
        <v>-6</v>
      </c>
      <c r="H11" s="46">
        <f>G11-1</f>
        <v>-7</v>
      </c>
      <c r="I11" s="46">
        <f>H11-1</f>
        <v>-8</v>
      </c>
    </row>
    <row r="12" spans="1:9" x14ac:dyDescent="0.25">
      <c r="A12" s="55">
        <v>1</v>
      </c>
      <c r="B12" s="85" t="s">
        <v>49</v>
      </c>
      <c r="C12" s="85"/>
      <c r="D12" s="45" t="s">
        <v>35</v>
      </c>
      <c r="E12" s="55">
        <v>2</v>
      </c>
      <c r="F12" s="56"/>
      <c r="G12" s="56"/>
      <c r="H12" s="56"/>
      <c r="I12" s="56"/>
    </row>
    <row r="13" spans="1:9" x14ac:dyDescent="0.25">
      <c r="A13" s="55">
        <v>2</v>
      </c>
      <c r="B13" s="85" t="s">
        <v>61</v>
      </c>
      <c r="C13" s="85"/>
      <c r="D13" s="45" t="s">
        <v>54</v>
      </c>
      <c r="E13" s="55">
        <v>5</v>
      </c>
      <c r="F13" s="56"/>
      <c r="G13" s="56"/>
      <c r="H13" s="56"/>
      <c r="I13" s="56"/>
    </row>
    <row r="14" spans="1:9" x14ac:dyDescent="0.25">
      <c r="A14" s="55">
        <v>4</v>
      </c>
      <c r="B14" s="85" t="s">
        <v>59</v>
      </c>
      <c r="C14" s="85"/>
      <c r="D14" s="45" t="s">
        <v>55</v>
      </c>
      <c r="E14" s="58">
        <v>3</v>
      </c>
      <c r="F14" s="56"/>
      <c r="G14" s="56"/>
      <c r="H14" s="56"/>
      <c r="I14" s="56"/>
    </row>
    <row r="15" spans="1:9" ht="15" customHeight="1" x14ac:dyDescent="0.25">
      <c r="A15" s="55">
        <v>5</v>
      </c>
      <c r="B15" s="85" t="s">
        <v>56</v>
      </c>
      <c r="C15" s="85"/>
      <c r="D15" s="45" t="s">
        <v>54</v>
      </c>
      <c r="E15" s="55">
        <v>5</v>
      </c>
      <c r="F15" s="55"/>
      <c r="G15" s="45"/>
      <c r="H15" s="45"/>
      <c r="I15" s="57"/>
    </row>
    <row r="16" spans="1:9" ht="15" customHeight="1" x14ac:dyDescent="0.25">
      <c r="A16" s="55">
        <v>6</v>
      </c>
      <c r="B16" s="85" t="s">
        <v>60</v>
      </c>
      <c r="C16" s="85"/>
      <c r="D16" s="45" t="s">
        <v>35</v>
      </c>
      <c r="E16" s="55">
        <v>1</v>
      </c>
      <c r="F16" s="55"/>
      <c r="G16" s="45"/>
      <c r="H16" s="45"/>
      <c r="I16" s="57"/>
    </row>
    <row r="17" spans="1:23" x14ac:dyDescent="0.25">
      <c r="A17" s="121" t="s">
        <v>68</v>
      </c>
      <c r="B17" s="121"/>
      <c r="C17" s="121"/>
      <c r="D17" s="121"/>
      <c r="E17" s="121" t="s">
        <v>131</v>
      </c>
      <c r="F17" s="121"/>
      <c r="G17" s="121"/>
      <c r="H17" s="121"/>
      <c r="I17" s="71"/>
      <c r="K17" s="29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x14ac:dyDescent="0.25">
      <c r="A18" s="13">
        <v>4</v>
      </c>
      <c r="B18" s="150" t="s">
        <v>85</v>
      </c>
      <c r="C18" s="151"/>
      <c r="D18" s="45" t="s">
        <v>35</v>
      </c>
      <c r="E18" s="13">
        <v>1</v>
      </c>
      <c r="F18" s="13"/>
      <c r="G18" s="13"/>
      <c r="H18" s="84"/>
      <c r="I18" s="68"/>
      <c r="K18" s="29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x14ac:dyDescent="0.25">
      <c r="A19" s="13">
        <v>5</v>
      </c>
      <c r="B19" s="150" t="s">
        <v>86</v>
      </c>
      <c r="C19" s="151"/>
      <c r="D19" s="45" t="s">
        <v>35</v>
      </c>
      <c r="E19" s="13">
        <v>1</v>
      </c>
      <c r="F19" s="13"/>
      <c r="G19" s="13"/>
      <c r="H19" s="84"/>
      <c r="I19" s="68"/>
      <c r="K19" s="29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x14ac:dyDescent="0.25">
      <c r="A20" s="13">
        <v>6</v>
      </c>
      <c r="B20" s="150" t="s">
        <v>87</v>
      </c>
      <c r="C20" s="151"/>
      <c r="D20" s="45" t="s">
        <v>35</v>
      </c>
      <c r="E20" s="13">
        <v>1</v>
      </c>
      <c r="F20" s="13"/>
      <c r="G20" s="13"/>
      <c r="H20" s="84"/>
      <c r="I20" s="68"/>
      <c r="K20" s="29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x14ac:dyDescent="0.25">
      <c r="A21" s="13">
        <v>7</v>
      </c>
      <c r="B21" s="150" t="s">
        <v>84</v>
      </c>
      <c r="C21" s="151"/>
      <c r="D21" s="45" t="s">
        <v>35</v>
      </c>
      <c r="E21" s="13">
        <v>1</v>
      </c>
      <c r="F21" s="13"/>
      <c r="G21" s="13"/>
      <c r="H21" s="84"/>
      <c r="I21" s="68"/>
      <c r="K21" s="29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x14ac:dyDescent="0.25">
      <c r="A22" s="13">
        <v>9</v>
      </c>
      <c r="B22" s="85" t="s">
        <v>70</v>
      </c>
      <c r="C22" s="85"/>
      <c r="D22" s="45" t="s">
        <v>35</v>
      </c>
      <c r="E22" s="13">
        <v>1</v>
      </c>
      <c r="F22" s="13"/>
      <c r="G22" s="13"/>
      <c r="H22" s="84"/>
      <c r="I22" s="68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x14ac:dyDescent="0.25">
      <c r="A23" s="13">
        <v>11</v>
      </c>
      <c r="B23" s="85" t="s">
        <v>78</v>
      </c>
      <c r="C23" s="85"/>
      <c r="D23" s="45" t="s">
        <v>35</v>
      </c>
      <c r="E23" s="13">
        <v>1</v>
      </c>
      <c r="F23" s="13"/>
      <c r="G23" s="13"/>
      <c r="H23" s="84"/>
      <c r="I23" s="68"/>
      <c r="K23" s="29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x14ac:dyDescent="0.25">
      <c r="A24" s="13">
        <v>12</v>
      </c>
      <c r="B24" s="119" t="s">
        <v>80</v>
      </c>
      <c r="C24" s="120"/>
      <c r="D24" s="45" t="s">
        <v>35</v>
      </c>
      <c r="E24" s="13">
        <v>2</v>
      </c>
      <c r="F24" s="13"/>
      <c r="G24" s="13"/>
      <c r="H24" s="84"/>
      <c r="I24" s="68"/>
      <c r="K24" s="29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x14ac:dyDescent="0.25">
      <c r="A25" s="13">
        <v>13</v>
      </c>
      <c r="B25" s="85" t="s">
        <v>64</v>
      </c>
      <c r="C25" s="85"/>
      <c r="D25" s="45" t="s">
        <v>35</v>
      </c>
      <c r="E25" s="13">
        <v>1</v>
      </c>
      <c r="F25" s="13"/>
      <c r="G25" s="13"/>
      <c r="H25" s="84"/>
      <c r="I25" s="68"/>
      <c r="K25" s="29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15" customHeight="1" x14ac:dyDescent="0.25">
      <c r="A26" s="41"/>
      <c r="B26" s="42"/>
      <c r="C26" s="42"/>
      <c r="D26" s="43"/>
      <c r="E26" s="41"/>
      <c r="F26" s="41"/>
      <c r="G26" s="43"/>
      <c r="H26" s="44"/>
      <c r="I26" s="29"/>
    </row>
    <row r="27" spans="1:23" ht="15" customHeight="1" x14ac:dyDescent="0.25">
      <c r="B27" s="3" t="s">
        <v>51</v>
      </c>
    </row>
    <row r="28" spans="1:23" ht="15" customHeight="1" x14ac:dyDescent="0.25">
      <c r="B28" t="s">
        <v>50</v>
      </c>
      <c r="C28" s="38" t="s">
        <v>72</v>
      </c>
    </row>
    <row r="30" spans="1:23" ht="15" customHeight="1" x14ac:dyDescent="0.25">
      <c r="A30" s="36"/>
      <c r="B30" s="94" t="s">
        <v>16</v>
      </c>
      <c r="C30" s="94"/>
      <c r="D30" s="36"/>
      <c r="F30" s="94" t="s">
        <v>17</v>
      </c>
      <c r="G30" s="94"/>
      <c r="H30" s="94"/>
    </row>
    <row r="31" spans="1:23" ht="15" customHeight="1" x14ac:dyDescent="0.25">
      <c r="A31" s="36"/>
      <c r="B31" s="94" t="s">
        <v>39</v>
      </c>
      <c r="C31" s="94"/>
      <c r="D31" s="94" t="s">
        <v>40</v>
      </c>
      <c r="E31" s="94"/>
      <c r="F31" s="94"/>
      <c r="G31" s="94"/>
      <c r="H31" s="94"/>
      <c r="I31" s="94"/>
    </row>
    <row r="32" spans="1:23" x14ac:dyDescent="0.25">
      <c r="A32" s="36"/>
      <c r="B32" s="75"/>
      <c r="C32" s="75"/>
      <c r="D32" s="36"/>
      <c r="E32" s="36"/>
      <c r="F32" s="83"/>
      <c r="G32" s="74"/>
      <c r="H32" s="11"/>
    </row>
    <row r="33" spans="1:8" x14ac:dyDescent="0.25">
      <c r="A33" s="36"/>
      <c r="B33" s="36"/>
      <c r="C33" s="75"/>
      <c r="D33" s="36"/>
      <c r="E33" s="36"/>
      <c r="F33" s="83"/>
      <c r="G33" s="74"/>
      <c r="H33" s="11"/>
    </row>
    <row r="34" spans="1:8" x14ac:dyDescent="0.25">
      <c r="A34" s="36"/>
      <c r="B34" s="36"/>
      <c r="D34" s="36"/>
      <c r="E34" s="36"/>
      <c r="F34" s="83"/>
      <c r="G34" s="74"/>
      <c r="H34" s="11"/>
    </row>
    <row r="35" spans="1:8" ht="15" customHeight="1" x14ac:dyDescent="0.25">
      <c r="A35" s="36"/>
      <c r="B35" s="95" t="s">
        <v>36</v>
      </c>
      <c r="C35" s="95"/>
      <c r="D35" s="36"/>
      <c r="E35" s="36"/>
      <c r="F35" s="92" t="s">
        <v>43</v>
      </c>
      <c r="G35" s="92"/>
      <c r="H35" s="92"/>
    </row>
    <row r="36" spans="1:8" ht="15" customHeight="1" x14ac:dyDescent="0.25">
      <c r="A36" s="36"/>
      <c r="B36" s="96" t="s">
        <v>37</v>
      </c>
      <c r="C36" s="96"/>
      <c r="D36" s="36"/>
      <c r="E36" s="36"/>
      <c r="F36" s="93" t="s">
        <v>38</v>
      </c>
      <c r="G36" s="93"/>
      <c r="H36" s="93"/>
    </row>
  </sheetData>
  <mergeCells count="32">
    <mergeCell ref="B22:C22"/>
    <mergeCell ref="B18:C18"/>
    <mergeCell ref="B19:C19"/>
    <mergeCell ref="B20:C20"/>
    <mergeCell ref="B21:C21"/>
    <mergeCell ref="B23:C23"/>
    <mergeCell ref="B24:C24"/>
    <mergeCell ref="B25:C25"/>
    <mergeCell ref="A17:D17"/>
    <mergeCell ref="E17:H17"/>
    <mergeCell ref="F35:H35"/>
    <mergeCell ref="F36:H36"/>
    <mergeCell ref="B30:C30"/>
    <mergeCell ref="B31:C31"/>
    <mergeCell ref="B35:C35"/>
    <mergeCell ref="B36:C36"/>
    <mergeCell ref="D31:I31"/>
    <mergeCell ref="F30:H30"/>
    <mergeCell ref="H2:I2"/>
    <mergeCell ref="A3:I3"/>
    <mergeCell ref="A9:A10"/>
    <mergeCell ref="B9:C10"/>
    <mergeCell ref="D9:D10"/>
    <mergeCell ref="E9:G9"/>
    <mergeCell ref="H9:H10"/>
    <mergeCell ref="I9:I10"/>
    <mergeCell ref="B16:C16"/>
    <mergeCell ref="B11:C11"/>
    <mergeCell ref="B15:C15"/>
    <mergeCell ref="B12:C12"/>
    <mergeCell ref="B13:C13"/>
    <mergeCell ref="B14:C14"/>
  </mergeCells>
  <printOptions horizontalCentered="1"/>
  <pageMargins left="0.70866141732283472" right="0.43307086614173229" top="0.74803149606299213" bottom="0.74803149606299213" header="0.31496062992125984" footer="0.31496062992125984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6"/>
  <sheetViews>
    <sheetView view="pageBreakPreview" zoomScale="80" zoomScaleNormal="100" zoomScaleSheetLayoutView="80" workbookViewId="0">
      <selection activeCell="C6" sqref="C6"/>
    </sheetView>
  </sheetViews>
  <sheetFormatPr defaultRowHeight="15" x14ac:dyDescent="0.25"/>
  <cols>
    <col min="1" max="1" width="12.85546875" bestFit="1" customWidth="1"/>
    <col min="2" max="2" width="11.42578125" customWidth="1"/>
    <col min="3" max="3" width="53" customWidth="1"/>
    <col min="4" max="6" width="13" customWidth="1"/>
    <col min="7" max="7" width="8.140625" customWidth="1"/>
    <col min="8" max="8" width="7.42578125" customWidth="1"/>
  </cols>
  <sheetData>
    <row r="1" spans="1:8" ht="15.75" x14ac:dyDescent="0.25">
      <c r="A1" s="103" t="s">
        <v>21</v>
      </c>
      <c r="B1" s="103"/>
      <c r="C1" s="103"/>
      <c r="D1" s="103"/>
      <c r="E1" s="103"/>
      <c r="F1" s="103"/>
      <c r="G1" s="103"/>
      <c r="H1" s="103"/>
    </row>
    <row r="2" spans="1:8" x14ac:dyDescent="0.25">
      <c r="A2" s="114"/>
      <c r="B2" s="114"/>
      <c r="C2" s="114"/>
      <c r="D2" s="114"/>
      <c r="E2" s="114"/>
      <c r="F2" s="114"/>
      <c r="G2" s="114"/>
      <c r="H2" s="114"/>
    </row>
    <row r="3" spans="1:8" x14ac:dyDescent="0.25">
      <c r="A3" s="114"/>
      <c r="B3" s="7" t="s">
        <v>22</v>
      </c>
      <c r="C3" t="s">
        <v>2</v>
      </c>
      <c r="D3" s="115"/>
      <c r="E3" s="115"/>
      <c r="F3" s="115"/>
      <c r="G3" s="115"/>
      <c r="H3" s="115"/>
    </row>
    <row r="4" spans="1:8" x14ac:dyDescent="0.25">
      <c r="A4" s="114"/>
      <c r="B4" s="7" t="s">
        <v>3</v>
      </c>
      <c r="C4" s="7" t="s">
        <v>33</v>
      </c>
      <c r="D4" s="115"/>
      <c r="E4" s="115"/>
      <c r="F4" s="115"/>
      <c r="G4" s="115"/>
      <c r="H4" s="115"/>
    </row>
    <row r="5" spans="1:8" ht="15" customHeight="1" x14ac:dyDescent="0.25">
      <c r="A5" s="114"/>
      <c r="B5" s="7" t="s">
        <v>23</v>
      </c>
      <c r="C5" s="7" t="s">
        <v>34</v>
      </c>
      <c r="D5" s="115"/>
      <c r="E5" s="115"/>
      <c r="F5" s="115"/>
      <c r="G5" s="115"/>
      <c r="H5" s="115"/>
    </row>
    <row r="6" spans="1:8" x14ac:dyDescent="0.25">
      <c r="A6" s="114"/>
      <c r="B6" s="7" t="s">
        <v>5</v>
      </c>
      <c r="C6" s="8" t="s">
        <v>71</v>
      </c>
      <c r="D6" s="115"/>
      <c r="E6" s="115"/>
      <c r="F6" s="115"/>
      <c r="G6" s="115"/>
      <c r="H6" s="115"/>
    </row>
    <row r="7" spans="1:8" x14ac:dyDescent="0.25">
      <c r="A7" s="117"/>
      <c r="B7" s="116"/>
      <c r="C7" s="116"/>
      <c r="D7" s="116"/>
      <c r="E7" s="116"/>
      <c r="F7" s="116"/>
      <c r="G7" s="116"/>
      <c r="H7" s="116"/>
    </row>
    <row r="8" spans="1:8" x14ac:dyDescent="0.25">
      <c r="A8" s="104" t="s">
        <v>24</v>
      </c>
      <c r="B8" s="105"/>
      <c r="C8" s="110" t="s">
        <v>25</v>
      </c>
      <c r="D8" s="91" t="s">
        <v>26</v>
      </c>
      <c r="E8" s="91" t="s">
        <v>27</v>
      </c>
      <c r="F8" s="112" t="s">
        <v>13</v>
      </c>
      <c r="G8" s="112"/>
      <c r="H8" s="113" t="s">
        <v>11</v>
      </c>
    </row>
    <row r="9" spans="1:8" x14ac:dyDescent="0.25">
      <c r="A9" s="106"/>
      <c r="B9" s="107"/>
      <c r="C9" s="111"/>
      <c r="D9" s="91"/>
      <c r="E9" s="91"/>
      <c r="F9" s="9" t="s">
        <v>28</v>
      </c>
      <c r="G9" s="10" t="s">
        <v>14</v>
      </c>
      <c r="H9" s="113"/>
    </row>
    <row r="10" spans="1:8" x14ac:dyDescent="0.25">
      <c r="A10" s="108">
        <v>-1</v>
      </c>
      <c r="B10" s="109"/>
      <c r="C10" s="13">
        <v>-2</v>
      </c>
      <c r="D10" s="13">
        <v>-3</v>
      </c>
      <c r="E10" s="13">
        <v>-4</v>
      </c>
      <c r="F10" s="13">
        <v>-5</v>
      </c>
      <c r="G10" s="13">
        <v>-6</v>
      </c>
      <c r="H10" s="13">
        <v>-7</v>
      </c>
    </row>
    <row r="11" spans="1:8" x14ac:dyDescent="0.25">
      <c r="A11" s="97" t="s">
        <v>53</v>
      </c>
      <c r="B11" s="100">
        <v>42705</v>
      </c>
      <c r="C11" s="12" t="s">
        <v>44</v>
      </c>
      <c r="D11" s="52" t="s">
        <v>29</v>
      </c>
      <c r="E11" s="31">
        <v>1</v>
      </c>
      <c r="F11" s="31">
        <v>1</v>
      </c>
      <c r="G11" s="14">
        <f>F11/E11</f>
        <v>1</v>
      </c>
      <c r="H11" s="21"/>
    </row>
    <row r="12" spans="1:8" x14ac:dyDescent="0.25">
      <c r="A12" s="98"/>
      <c r="B12" s="101"/>
      <c r="C12" s="12" t="s">
        <v>32</v>
      </c>
      <c r="D12" s="52" t="s">
        <v>29</v>
      </c>
      <c r="E12" s="31">
        <v>1</v>
      </c>
      <c r="F12" s="31">
        <v>1</v>
      </c>
      <c r="G12" s="14">
        <f t="shared" ref="G12:G16" si="0">F12/E12</f>
        <v>1</v>
      </c>
      <c r="H12" s="21"/>
    </row>
    <row r="13" spans="1:8" x14ac:dyDescent="0.25">
      <c r="A13" s="98"/>
      <c r="B13" s="101"/>
      <c r="C13" s="12" t="s">
        <v>62</v>
      </c>
      <c r="D13" s="52" t="s">
        <v>29</v>
      </c>
      <c r="E13" s="31">
        <v>1</v>
      </c>
      <c r="F13" s="31">
        <v>1</v>
      </c>
      <c r="G13" s="14">
        <f t="shared" ref="G13:G14" si="1">F13/E13</f>
        <v>1</v>
      </c>
      <c r="H13" s="21"/>
    </row>
    <row r="14" spans="1:8" x14ac:dyDescent="0.25">
      <c r="A14" s="98"/>
      <c r="B14" s="101"/>
      <c r="C14" s="12" t="s">
        <v>79</v>
      </c>
      <c r="D14" s="52" t="s">
        <v>29</v>
      </c>
      <c r="E14" s="31">
        <v>1</v>
      </c>
      <c r="F14" s="31">
        <v>1</v>
      </c>
      <c r="G14" s="14">
        <f t="shared" si="1"/>
        <v>1</v>
      </c>
      <c r="H14" s="21"/>
    </row>
    <row r="15" spans="1:8" x14ac:dyDescent="0.25">
      <c r="A15" s="98"/>
      <c r="B15" s="101"/>
      <c r="C15" s="12" t="s">
        <v>80</v>
      </c>
      <c r="D15" s="52" t="s">
        <v>29</v>
      </c>
      <c r="E15" s="31">
        <v>1</v>
      </c>
      <c r="F15" s="31">
        <v>1</v>
      </c>
      <c r="G15" s="14">
        <f t="shared" ref="G15" si="2">F15/E15</f>
        <v>1</v>
      </c>
      <c r="H15" s="21"/>
    </row>
    <row r="16" spans="1:8" x14ac:dyDescent="0.25">
      <c r="A16" s="97" t="s">
        <v>81</v>
      </c>
      <c r="B16" s="100">
        <v>42706</v>
      </c>
      <c r="C16" s="12" t="s">
        <v>44</v>
      </c>
      <c r="D16" s="52" t="s">
        <v>29</v>
      </c>
      <c r="E16" s="31">
        <v>1</v>
      </c>
      <c r="F16" s="31">
        <v>1</v>
      </c>
      <c r="G16" s="14">
        <f t="shared" si="0"/>
        <v>1</v>
      </c>
      <c r="H16" s="21"/>
    </row>
    <row r="17" spans="1:8" x14ac:dyDescent="0.25">
      <c r="A17" s="98"/>
      <c r="B17" s="101"/>
      <c r="C17" s="12" t="s">
        <v>32</v>
      </c>
      <c r="D17" s="52" t="s">
        <v>29</v>
      </c>
      <c r="E17" s="31">
        <v>1</v>
      </c>
      <c r="F17" s="31">
        <v>1</v>
      </c>
      <c r="G17" s="14">
        <f t="shared" ref="G17:G25" si="3">F17/E17</f>
        <v>1</v>
      </c>
      <c r="H17" s="21"/>
    </row>
    <row r="18" spans="1:8" x14ac:dyDescent="0.25">
      <c r="A18" s="98"/>
      <c r="B18" s="101"/>
      <c r="C18" s="12" t="s">
        <v>74</v>
      </c>
      <c r="D18" s="52" t="s">
        <v>29</v>
      </c>
      <c r="E18" s="31">
        <v>1</v>
      </c>
      <c r="F18" s="31">
        <v>1</v>
      </c>
      <c r="G18" s="14">
        <f t="shared" ref="G18:G19" si="4">F18/E18</f>
        <v>1</v>
      </c>
      <c r="H18" s="21"/>
    </row>
    <row r="19" spans="1:8" x14ac:dyDescent="0.25">
      <c r="A19" s="98"/>
      <c r="B19" s="101"/>
      <c r="C19" s="141" t="s">
        <v>82</v>
      </c>
      <c r="D19" s="80" t="s">
        <v>29</v>
      </c>
      <c r="E19" s="81">
        <v>1</v>
      </c>
      <c r="F19" s="81">
        <v>1</v>
      </c>
      <c r="G19" s="82">
        <f t="shared" si="4"/>
        <v>1</v>
      </c>
      <c r="H19" s="142"/>
    </row>
    <row r="20" spans="1:8" x14ac:dyDescent="0.25">
      <c r="A20" s="118" t="s">
        <v>45</v>
      </c>
      <c r="B20" s="100">
        <v>42709</v>
      </c>
      <c r="C20" s="12" t="s">
        <v>44</v>
      </c>
      <c r="D20" s="80" t="s">
        <v>29</v>
      </c>
      <c r="E20" s="81">
        <v>1</v>
      </c>
      <c r="F20" s="81">
        <v>1</v>
      </c>
      <c r="G20" s="82">
        <f t="shared" ref="G20:G23" si="5">F20/E20</f>
        <v>1</v>
      </c>
      <c r="H20" s="21"/>
    </row>
    <row r="21" spans="1:8" x14ac:dyDescent="0.25">
      <c r="A21" s="118"/>
      <c r="B21" s="101"/>
      <c r="C21" s="12" t="s">
        <v>32</v>
      </c>
      <c r="D21" s="80" t="s">
        <v>29</v>
      </c>
      <c r="E21" s="81">
        <v>1</v>
      </c>
      <c r="F21" s="81">
        <v>1</v>
      </c>
      <c r="G21" s="82">
        <f t="shared" si="5"/>
        <v>1</v>
      </c>
      <c r="H21" s="21"/>
    </row>
    <row r="22" spans="1:8" x14ac:dyDescent="0.25">
      <c r="A22" s="118"/>
      <c r="B22" s="101"/>
      <c r="C22" s="12" t="s">
        <v>78</v>
      </c>
      <c r="D22" s="80" t="s">
        <v>29</v>
      </c>
      <c r="E22" s="81">
        <v>1</v>
      </c>
      <c r="F22" s="81">
        <v>1</v>
      </c>
      <c r="G22" s="82">
        <f t="shared" si="5"/>
        <v>1</v>
      </c>
      <c r="H22" s="21"/>
    </row>
    <row r="23" spans="1:8" x14ac:dyDescent="0.25">
      <c r="A23" s="118"/>
      <c r="B23" s="101"/>
      <c r="C23" s="12" t="s">
        <v>91</v>
      </c>
      <c r="D23" s="80" t="s">
        <v>29</v>
      </c>
      <c r="E23" s="81">
        <v>1</v>
      </c>
      <c r="F23" s="81">
        <v>1</v>
      </c>
      <c r="G23" s="82">
        <f t="shared" si="5"/>
        <v>1</v>
      </c>
      <c r="H23" s="21"/>
    </row>
    <row r="24" spans="1:8" x14ac:dyDescent="0.25">
      <c r="A24" s="97" t="s">
        <v>46</v>
      </c>
      <c r="B24" s="100">
        <v>42710</v>
      </c>
      <c r="C24" s="12" t="s">
        <v>44</v>
      </c>
      <c r="D24" s="52" t="s">
        <v>29</v>
      </c>
      <c r="E24" s="31">
        <v>1</v>
      </c>
      <c r="F24" s="31">
        <v>1</v>
      </c>
      <c r="G24" s="14">
        <f t="shared" si="3"/>
        <v>1</v>
      </c>
      <c r="H24" s="20"/>
    </row>
    <row r="25" spans="1:8" x14ac:dyDescent="0.25">
      <c r="A25" s="98"/>
      <c r="B25" s="101"/>
      <c r="C25" s="12" t="s">
        <v>32</v>
      </c>
      <c r="D25" s="52" t="s">
        <v>29</v>
      </c>
      <c r="E25" s="31">
        <v>1</v>
      </c>
      <c r="F25" s="31">
        <v>1</v>
      </c>
      <c r="G25" s="14">
        <f t="shared" si="3"/>
        <v>1</v>
      </c>
      <c r="H25" s="20"/>
    </row>
    <row r="26" spans="1:8" x14ac:dyDescent="0.25">
      <c r="A26" s="98"/>
      <c r="B26" s="101"/>
      <c r="C26" s="12" t="s">
        <v>83</v>
      </c>
      <c r="D26" s="52" t="s">
        <v>29</v>
      </c>
      <c r="E26" s="31">
        <v>1</v>
      </c>
      <c r="F26" s="31">
        <v>1</v>
      </c>
      <c r="G26" s="14">
        <f t="shared" ref="G26" si="6">F26/E26</f>
        <v>1</v>
      </c>
      <c r="H26" s="20"/>
    </row>
    <row r="27" spans="1:8" x14ac:dyDescent="0.25">
      <c r="A27" s="98"/>
      <c r="B27" s="101"/>
      <c r="C27" s="12" t="s">
        <v>73</v>
      </c>
      <c r="D27" s="76" t="s">
        <v>29</v>
      </c>
      <c r="E27" s="77">
        <v>1</v>
      </c>
      <c r="F27" s="77">
        <v>1</v>
      </c>
      <c r="G27" s="78">
        <f t="shared" ref="G27:G30" si="7">F27/E27</f>
        <v>1</v>
      </c>
      <c r="H27" s="79"/>
    </row>
    <row r="28" spans="1:8" x14ac:dyDescent="0.25">
      <c r="A28" s="98"/>
      <c r="B28" s="101"/>
      <c r="C28" s="12" t="s">
        <v>85</v>
      </c>
      <c r="D28" s="76" t="s">
        <v>29</v>
      </c>
      <c r="E28" s="77">
        <v>1</v>
      </c>
      <c r="F28" s="77">
        <v>1</v>
      </c>
      <c r="G28" s="78">
        <f t="shared" si="7"/>
        <v>1</v>
      </c>
      <c r="H28" s="79"/>
    </row>
    <row r="29" spans="1:8" x14ac:dyDescent="0.25">
      <c r="A29" s="98"/>
      <c r="B29" s="101"/>
      <c r="C29" s="12" t="s">
        <v>86</v>
      </c>
      <c r="D29" s="76" t="s">
        <v>29</v>
      </c>
      <c r="E29" s="77">
        <v>6</v>
      </c>
      <c r="F29" s="77">
        <v>6</v>
      </c>
      <c r="G29" s="78">
        <f t="shared" si="7"/>
        <v>1</v>
      </c>
      <c r="H29" s="79"/>
    </row>
    <row r="30" spans="1:8" x14ac:dyDescent="0.25">
      <c r="A30" s="98"/>
      <c r="B30" s="101"/>
      <c r="C30" s="12" t="s">
        <v>87</v>
      </c>
      <c r="D30" s="76" t="s">
        <v>29</v>
      </c>
      <c r="E30" s="77">
        <v>2</v>
      </c>
      <c r="F30" s="77">
        <v>2</v>
      </c>
      <c r="G30" s="78">
        <f t="shared" si="7"/>
        <v>1</v>
      </c>
      <c r="H30" s="79"/>
    </row>
    <row r="31" spans="1:8" x14ac:dyDescent="0.25">
      <c r="A31" s="98"/>
      <c r="B31" s="101"/>
      <c r="C31" s="12" t="s">
        <v>84</v>
      </c>
      <c r="D31" s="52" t="s">
        <v>29</v>
      </c>
      <c r="E31" s="31">
        <v>1</v>
      </c>
      <c r="F31" s="31">
        <v>1</v>
      </c>
      <c r="G31" s="14">
        <f t="shared" ref="G31" si="8">F31/E31</f>
        <v>1</v>
      </c>
      <c r="H31" s="20"/>
    </row>
    <row r="32" spans="1:8" x14ac:dyDescent="0.25">
      <c r="A32" s="97" t="s">
        <v>52</v>
      </c>
      <c r="B32" s="100">
        <v>42711</v>
      </c>
      <c r="C32" s="12" t="s">
        <v>44</v>
      </c>
      <c r="D32" s="76" t="s">
        <v>29</v>
      </c>
      <c r="E32" s="77">
        <v>1</v>
      </c>
      <c r="F32" s="77">
        <v>1</v>
      </c>
      <c r="G32" s="78">
        <f t="shared" ref="G32:G34" si="9">F32/E32</f>
        <v>1</v>
      </c>
      <c r="H32" s="79"/>
    </row>
    <row r="33" spans="1:8" x14ac:dyDescent="0.25">
      <c r="A33" s="98"/>
      <c r="B33" s="101"/>
      <c r="C33" s="12" t="s">
        <v>32</v>
      </c>
      <c r="D33" s="76" t="s">
        <v>29</v>
      </c>
      <c r="E33" s="77">
        <v>1</v>
      </c>
      <c r="F33" s="77">
        <v>1</v>
      </c>
      <c r="G33" s="78">
        <f t="shared" si="9"/>
        <v>1</v>
      </c>
      <c r="H33" s="79"/>
    </row>
    <row r="34" spans="1:8" x14ac:dyDescent="0.25">
      <c r="A34" s="98"/>
      <c r="B34" s="101"/>
      <c r="C34" s="12" t="s">
        <v>118</v>
      </c>
      <c r="D34" s="76" t="s">
        <v>29</v>
      </c>
      <c r="E34" s="77">
        <v>1</v>
      </c>
      <c r="F34" s="77">
        <v>1</v>
      </c>
      <c r="G34" s="78">
        <f t="shared" si="9"/>
        <v>1</v>
      </c>
      <c r="H34" s="79"/>
    </row>
    <row r="35" spans="1:8" x14ac:dyDescent="0.25">
      <c r="A35" s="97" t="s">
        <v>53</v>
      </c>
      <c r="B35" s="100">
        <v>42712</v>
      </c>
      <c r="C35" s="12" t="s">
        <v>44</v>
      </c>
      <c r="D35" s="52" t="s">
        <v>29</v>
      </c>
      <c r="E35" s="31">
        <v>1</v>
      </c>
      <c r="F35" s="31">
        <v>1</v>
      </c>
      <c r="G35" s="14">
        <f t="shared" ref="G35:G37" si="10">F35/E35</f>
        <v>1</v>
      </c>
      <c r="H35" s="20"/>
    </row>
    <row r="36" spans="1:8" x14ac:dyDescent="0.25">
      <c r="A36" s="98"/>
      <c r="B36" s="101"/>
      <c r="C36" s="12" t="s">
        <v>32</v>
      </c>
      <c r="D36" s="52" t="s">
        <v>29</v>
      </c>
      <c r="E36" s="31">
        <v>1</v>
      </c>
      <c r="F36" s="31">
        <v>1</v>
      </c>
      <c r="G36" s="14">
        <f t="shared" si="10"/>
        <v>1</v>
      </c>
      <c r="H36" s="20"/>
    </row>
    <row r="37" spans="1:8" x14ac:dyDescent="0.25">
      <c r="A37" s="98"/>
      <c r="B37" s="101"/>
      <c r="C37" s="12" t="s">
        <v>88</v>
      </c>
      <c r="D37" s="52" t="s">
        <v>29</v>
      </c>
      <c r="E37" s="31">
        <v>1</v>
      </c>
      <c r="F37" s="31">
        <v>1</v>
      </c>
      <c r="G37" s="14">
        <f t="shared" si="10"/>
        <v>1</v>
      </c>
      <c r="H37" s="20"/>
    </row>
    <row r="38" spans="1:8" x14ac:dyDescent="0.25">
      <c r="A38" s="97" t="s">
        <v>92</v>
      </c>
      <c r="B38" s="100">
        <v>42713</v>
      </c>
      <c r="C38" s="12" t="s">
        <v>44</v>
      </c>
      <c r="D38" s="52" t="s">
        <v>29</v>
      </c>
      <c r="E38" s="31">
        <v>1</v>
      </c>
      <c r="F38" s="31">
        <v>1</v>
      </c>
      <c r="G38" s="14">
        <f t="shared" ref="G38:G67" si="11">F38/E38</f>
        <v>1</v>
      </c>
      <c r="H38" s="20"/>
    </row>
    <row r="39" spans="1:8" x14ac:dyDescent="0.25">
      <c r="A39" s="98"/>
      <c r="B39" s="101"/>
      <c r="C39" s="12" t="s">
        <v>32</v>
      </c>
      <c r="D39" s="52" t="s">
        <v>29</v>
      </c>
      <c r="E39" s="31">
        <v>1</v>
      </c>
      <c r="F39" s="31">
        <v>1</v>
      </c>
      <c r="G39" s="14">
        <f t="shared" si="11"/>
        <v>1</v>
      </c>
      <c r="H39" s="20"/>
    </row>
    <row r="40" spans="1:8" x14ac:dyDescent="0.25">
      <c r="A40" s="98"/>
      <c r="B40" s="101"/>
      <c r="C40" s="12" t="s">
        <v>89</v>
      </c>
      <c r="D40" s="52" t="s">
        <v>29</v>
      </c>
      <c r="E40" s="31">
        <v>1</v>
      </c>
      <c r="F40" s="31">
        <v>1</v>
      </c>
      <c r="G40" s="14">
        <f t="shared" si="11"/>
        <v>1</v>
      </c>
      <c r="H40" s="20"/>
    </row>
    <row r="41" spans="1:8" x14ac:dyDescent="0.25">
      <c r="A41" s="98"/>
      <c r="B41" s="101"/>
      <c r="C41" s="12" t="s">
        <v>74</v>
      </c>
      <c r="D41" s="52" t="s">
        <v>29</v>
      </c>
      <c r="E41" s="31">
        <v>1</v>
      </c>
      <c r="F41" s="31">
        <v>1</v>
      </c>
      <c r="G41" s="14">
        <f t="shared" ref="G41:G42" si="12">F41/E41</f>
        <v>1</v>
      </c>
      <c r="H41" s="20"/>
    </row>
    <row r="42" spans="1:8" x14ac:dyDescent="0.25">
      <c r="A42" s="99"/>
      <c r="B42" s="102"/>
      <c r="C42" s="12" t="s">
        <v>90</v>
      </c>
      <c r="D42" s="52" t="s">
        <v>29</v>
      </c>
      <c r="E42" s="31">
        <v>2</v>
      </c>
      <c r="F42" s="31">
        <v>2</v>
      </c>
      <c r="G42" s="14">
        <f t="shared" si="12"/>
        <v>1</v>
      </c>
      <c r="H42" s="20"/>
    </row>
    <row r="43" spans="1:8" x14ac:dyDescent="0.25">
      <c r="A43" s="97" t="s">
        <v>46</v>
      </c>
      <c r="B43" s="100">
        <v>42717</v>
      </c>
      <c r="C43" s="12" t="s">
        <v>44</v>
      </c>
      <c r="D43" s="52" t="s">
        <v>29</v>
      </c>
      <c r="E43" s="31">
        <v>1</v>
      </c>
      <c r="F43" s="31">
        <v>1</v>
      </c>
      <c r="G43" s="14">
        <f t="shared" ref="G43:G46" si="13">F43/E43</f>
        <v>1</v>
      </c>
      <c r="H43" s="20"/>
    </row>
    <row r="44" spans="1:8" x14ac:dyDescent="0.25">
      <c r="A44" s="98"/>
      <c r="B44" s="101"/>
      <c r="C44" s="12" t="s">
        <v>93</v>
      </c>
      <c r="D44" s="52" t="s">
        <v>29</v>
      </c>
      <c r="E44" s="31">
        <v>1</v>
      </c>
      <c r="F44" s="31">
        <v>1</v>
      </c>
      <c r="G44" s="14">
        <f t="shared" si="13"/>
        <v>1</v>
      </c>
      <c r="H44" s="20"/>
    </row>
    <row r="45" spans="1:8" x14ac:dyDescent="0.25">
      <c r="A45" s="98"/>
      <c r="B45" s="101"/>
      <c r="C45" s="12" t="s">
        <v>94</v>
      </c>
      <c r="D45" s="52" t="s">
        <v>29</v>
      </c>
      <c r="E45" s="31">
        <v>1</v>
      </c>
      <c r="F45" s="31">
        <v>1</v>
      </c>
      <c r="G45" s="14">
        <f t="shared" si="13"/>
        <v>1</v>
      </c>
      <c r="H45" s="20"/>
    </row>
    <row r="46" spans="1:8" x14ac:dyDescent="0.25">
      <c r="A46" s="99"/>
      <c r="B46" s="102"/>
      <c r="C46" s="12" t="s">
        <v>73</v>
      </c>
      <c r="D46" s="52" t="s">
        <v>29</v>
      </c>
      <c r="E46" s="31">
        <v>1</v>
      </c>
      <c r="F46" s="31">
        <v>1</v>
      </c>
      <c r="G46" s="14">
        <f t="shared" si="13"/>
        <v>1</v>
      </c>
      <c r="H46" s="20"/>
    </row>
    <row r="47" spans="1:8" x14ac:dyDescent="0.25">
      <c r="A47" s="97" t="s">
        <v>52</v>
      </c>
      <c r="B47" s="100">
        <v>42718</v>
      </c>
      <c r="C47" s="12" t="s">
        <v>44</v>
      </c>
      <c r="D47" s="52" t="s">
        <v>29</v>
      </c>
      <c r="E47" s="31">
        <v>1</v>
      </c>
      <c r="F47" s="31">
        <v>1</v>
      </c>
      <c r="G47" s="14">
        <f t="shared" si="11"/>
        <v>1</v>
      </c>
      <c r="H47" s="20"/>
    </row>
    <row r="48" spans="1:8" x14ac:dyDescent="0.25">
      <c r="A48" s="98"/>
      <c r="B48" s="101"/>
      <c r="C48" s="12" t="s">
        <v>32</v>
      </c>
      <c r="D48" s="52" t="s">
        <v>29</v>
      </c>
      <c r="E48" s="31">
        <v>1</v>
      </c>
      <c r="F48" s="31">
        <v>1</v>
      </c>
      <c r="G48" s="14">
        <f t="shared" si="11"/>
        <v>1</v>
      </c>
      <c r="H48" s="20"/>
    </row>
    <row r="49" spans="1:8" x14ac:dyDescent="0.25">
      <c r="A49" s="98"/>
      <c r="B49" s="101"/>
      <c r="C49" s="12" t="s">
        <v>126</v>
      </c>
      <c r="D49" s="52" t="s">
        <v>29</v>
      </c>
      <c r="E49" s="31">
        <v>1</v>
      </c>
      <c r="F49" s="31">
        <v>1</v>
      </c>
      <c r="G49" s="14">
        <f t="shared" si="11"/>
        <v>1</v>
      </c>
      <c r="H49" s="20"/>
    </row>
    <row r="50" spans="1:8" x14ac:dyDescent="0.25">
      <c r="A50" s="98"/>
      <c r="B50" s="101"/>
      <c r="C50" s="12" t="s">
        <v>127</v>
      </c>
      <c r="D50" s="52" t="s">
        <v>29</v>
      </c>
      <c r="E50" s="31">
        <v>1</v>
      </c>
      <c r="F50" s="31">
        <v>1</v>
      </c>
      <c r="G50" s="14">
        <f t="shared" ref="G50" si="14">F50/E50</f>
        <v>1</v>
      </c>
      <c r="H50" s="20"/>
    </row>
    <row r="51" spans="1:8" x14ac:dyDescent="0.25">
      <c r="A51" s="98"/>
      <c r="B51" s="101"/>
      <c r="C51" s="12" t="s">
        <v>95</v>
      </c>
      <c r="D51" s="52" t="s">
        <v>29</v>
      </c>
      <c r="E51" s="31">
        <v>1</v>
      </c>
      <c r="F51" s="31">
        <v>1</v>
      </c>
      <c r="G51" s="14">
        <f t="shared" ref="G51" si="15">F51/E51</f>
        <v>1</v>
      </c>
      <c r="H51" s="20"/>
    </row>
    <row r="52" spans="1:8" x14ac:dyDescent="0.25">
      <c r="A52" s="98"/>
      <c r="B52" s="101"/>
      <c r="C52" s="12" t="s">
        <v>97</v>
      </c>
      <c r="D52" s="76" t="s">
        <v>29</v>
      </c>
      <c r="E52" s="77">
        <v>1</v>
      </c>
      <c r="F52" s="77">
        <v>1</v>
      </c>
      <c r="G52" s="78">
        <f t="shared" ref="G52" si="16">F52/E52</f>
        <v>1</v>
      </c>
      <c r="H52" s="79"/>
    </row>
    <row r="53" spans="1:8" x14ac:dyDescent="0.25">
      <c r="A53" s="99"/>
      <c r="B53" s="102"/>
      <c r="C53" s="12" t="s">
        <v>96</v>
      </c>
      <c r="D53" s="52" t="s">
        <v>29</v>
      </c>
      <c r="E53" s="31">
        <v>1</v>
      </c>
      <c r="F53" s="31">
        <v>1</v>
      </c>
      <c r="G53" s="14">
        <f t="shared" si="11"/>
        <v>1</v>
      </c>
      <c r="H53" s="20"/>
    </row>
    <row r="54" spans="1:8" x14ac:dyDescent="0.25">
      <c r="A54" s="97" t="s">
        <v>53</v>
      </c>
      <c r="B54" s="100">
        <v>42719</v>
      </c>
      <c r="C54" s="12" t="s">
        <v>44</v>
      </c>
      <c r="D54" s="52" t="s">
        <v>29</v>
      </c>
      <c r="E54" s="31">
        <v>1</v>
      </c>
      <c r="F54" s="31">
        <v>1</v>
      </c>
      <c r="G54" s="14">
        <f t="shared" si="11"/>
        <v>1</v>
      </c>
      <c r="H54" s="20"/>
    </row>
    <row r="55" spans="1:8" x14ac:dyDescent="0.25">
      <c r="A55" s="98"/>
      <c r="B55" s="101"/>
      <c r="C55" s="12" t="s">
        <v>32</v>
      </c>
      <c r="D55" s="52" t="s">
        <v>29</v>
      </c>
      <c r="E55" s="31">
        <v>1</v>
      </c>
      <c r="F55" s="31">
        <v>1</v>
      </c>
      <c r="G55" s="14">
        <f t="shared" si="11"/>
        <v>1</v>
      </c>
      <c r="H55" s="20"/>
    </row>
    <row r="56" spans="1:8" x14ac:dyDescent="0.25">
      <c r="A56" s="98"/>
      <c r="B56" s="101"/>
      <c r="C56" s="12" t="s">
        <v>98</v>
      </c>
      <c r="D56" s="52" t="s">
        <v>29</v>
      </c>
      <c r="E56" s="31">
        <v>1</v>
      </c>
      <c r="F56" s="31">
        <v>1</v>
      </c>
      <c r="G56" s="14">
        <f t="shared" si="11"/>
        <v>1</v>
      </c>
      <c r="H56" s="20"/>
    </row>
    <row r="57" spans="1:8" x14ac:dyDescent="0.25">
      <c r="A57" s="98"/>
      <c r="B57" s="101"/>
      <c r="C57" s="12" t="s">
        <v>101</v>
      </c>
      <c r="D57" s="76" t="s">
        <v>29</v>
      </c>
      <c r="E57" s="77">
        <v>1</v>
      </c>
      <c r="F57" s="77">
        <v>1</v>
      </c>
      <c r="G57" s="78">
        <f t="shared" ref="G57" si="17">F57/E57</f>
        <v>1</v>
      </c>
      <c r="H57" s="79"/>
    </row>
    <row r="58" spans="1:8" x14ac:dyDescent="0.25">
      <c r="A58" s="98"/>
      <c r="B58" s="101"/>
      <c r="C58" s="12" t="s">
        <v>102</v>
      </c>
      <c r="D58" s="52" t="s">
        <v>29</v>
      </c>
      <c r="E58" s="31">
        <v>1</v>
      </c>
      <c r="F58" s="31">
        <v>1</v>
      </c>
      <c r="G58" s="14">
        <f t="shared" ref="G58" si="18">F58/E58</f>
        <v>1</v>
      </c>
      <c r="H58" s="20"/>
    </row>
    <row r="59" spans="1:8" x14ac:dyDescent="0.25">
      <c r="A59" s="118" t="s">
        <v>81</v>
      </c>
      <c r="B59" s="143">
        <v>42720</v>
      </c>
      <c r="C59" s="12" t="s">
        <v>44</v>
      </c>
      <c r="D59" s="76" t="s">
        <v>29</v>
      </c>
      <c r="E59" s="77">
        <v>1</v>
      </c>
      <c r="F59" s="77">
        <v>1</v>
      </c>
      <c r="G59" s="78">
        <f t="shared" si="11"/>
        <v>1</v>
      </c>
      <c r="H59" s="79"/>
    </row>
    <row r="60" spans="1:8" x14ac:dyDescent="0.25">
      <c r="A60" s="118"/>
      <c r="B60" s="143"/>
      <c r="C60" s="12" t="s">
        <v>32</v>
      </c>
      <c r="D60" s="76" t="s">
        <v>29</v>
      </c>
      <c r="E60" s="77">
        <v>1</v>
      </c>
      <c r="F60" s="77">
        <v>1</v>
      </c>
      <c r="G60" s="78">
        <f t="shared" si="11"/>
        <v>1</v>
      </c>
      <c r="H60" s="79"/>
    </row>
    <row r="61" spans="1:8" x14ac:dyDescent="0.25">
      <c r="A61" s="118"/>
      <c r="B61" s="143"/>
      <c r="C61" s="12" t="s">
        <v>99</v>
      </c>
      <c r="D61" s="76" t="s">
        <v>29</v>
      </c>
      <c r="E61" s="77">
        <v>1</v>
      </c>
      <c r="F61" s="77">
        <v>1</v>
      </c>
      <c r="G61" s="78">
        <f t="shared" si="11"/>
        <v>1</v>
      </c>
      <c r="H61" s="79"/>
    </row>
    <row r="62" spans="1:8" x14ac:dyDescent="0.25">
      <c r="A62" s="118"/>
      <c r="B62" s="143"/>
      <c r="C62" s="12" t="s">
        <v>74</v>
      </c>
      <c r="D62" s="76" t="s">
        <v>29</v>
      </c>
      <c r="E62" s="77">
        <v>1</v>
      </c>
      <c r="F62" s="77">
        <v>1</v>
      </c>
      <c r="G62" s="78">
        <f t="shared" ref="G62:G66" si="19">F62/E62</f>
        <v>1</v>
      </c>
      <c r="H62" s="79"/>
    </row>
    <row r="63" spans="1:8" x14ac:dyDescent="0.25">
      <c r="A63" s="118"/>
      <c r="B63" s="143"/>
      <c r="C63" s="12" t="s">
        <v>100</v>
      </c>
      <c r="D63" s="76" t="s">
        <v>29</v>
      </c>
      <c r="E63" s="77">
        <v>1</v>
      </c>
      <c r="F63" s="77">
        <v>1</v>
      </c>
      <c r="G63" s="78">
        <f t="shared" si="19"/>
        <v>1</v>
      </c>
      <c r="H63" s="79"/>
    </row>
    <row r="64" spans="1:8" x14ac:dyDescent="0.25">
      <c r="A64" s="118" t="s">
        <v>45</v>
      </c>
      <c r="B64" s="143">
        <v>42723</v>
      </c>
      <c r="C64" s="12" t="s">
        <v>103</v>
      </c>
      <c r="D64" s="76" t="s">
        <v>29</v>
      </c>
      <c r="E64" s="77">
        <v>1</v>
      </c>
      <c r="F64" s="77">
        <v>1</v>
      </c>
      <c r="G64" s="78">
        <f t="shared" si="19"/>
        <v>1</v>
      </c>
      <c r="H64" s="79"/>
    </row>
    <row r="65" spans="1:8" x14ac:dyDescent="0.25">
      <c r="A65" s="118"/>
      <c r="B65" s="143"/>
      <c r="C65" s="12" t="s">
        <v>105</v>
      </c>
      <c r="D65" s="76" t="s">
        <v>29</v>
      </c>
      <c r="E65" s="77">
        <v>1</v>
      </c>
      <c r="F65" s="77">
        <v>1</v>
      </c>
      <c r="G65" s="78">
        <f t="shared" si="19"/>
        <v>1</v>
      </c>
      <c r="H65" s="79"/>
    </row>
    <row r="66" spans="1:8" x14ac:dyDescent="0.25">
      <c r="A66" s="118"/>
      <c r="B66" s="143"/>
      <c r="C66" s="12" t="s">
        <v>99</v>
      </c>
      <c r="D66" s="76" t="s">
        <v>29</v>
      </c>
      <c r="E66" s="77">
        <v>1</v>
      </c>
      <c r="F66" s="77">
        <v>1</v>
      </c>
      <c r="G66" s="78">
        <f t="shared" si="19"/>
        <v>1</v>
      </c>
      <c r="H66" s="79"/>
    </row>
    <row r="67" spans="1:8" x14ac:dyDescent="0.25">
      <c r="A67" s="118"/>
      <c r="B67" s="143"/>
      <c r="C67" s="12" t="s">
        <v>104</v>
      </c>
      <c r="D67" s="76" t="s">
        <v>29</v>
      </c>
      <c r="E67" s="77">
        <v>1</v>
      </c>
      <c r="F67" s="77">
        <v>1</v>
      </c>
      <c r="G67" s="78">
        <f t="shared" si="11"/>
        <v>1</v>
      </c>
      <c r="H67" s="145"/>
    </row>
    <row r="68" spans="1:8" x14ac:dyDescent="0.25">
      <c r="A68" s="118" t="s">
        <v>46</v>
      </c>
      <c r="B68" s="143">
        <v>42724</v>
      </c>
      <c r="C68" s="12" t="s">
        <v>44</v>
      </c>
      <c r="D68" s="76" t="s">
        <v>29</v>
      </c>
      <c r="E68" s="77">
        <v>1</v>
      </c>
      <c r="F68" s="77">
        <v>1</v>
      </c>
      <c r="G68" s="78">
        <f t="shared" ref="G68:G78" si="20">F68/E68</f>
        <v>1</v>
      </c>
      <c r="H68" s="145"/>
    </row>
    <row r="69" spans="1:8" x14ac:dyDescent="0.25">
      <c r="A69" s="118"/>
      <c r="B69" s="143"/>
      <c r="C69" s="12" t="s">
        <v>32</v>
      </c>
      <c r="D69" s="76" t="s">
        <v>29</v>
      </c>
      <c r="E69" s="77">
        <v>1</v>
      </c>
      <c r="F69" s="77">
        <v>1</v>
      </c>
      <c r="G69" s="78">
        <f t="shared" si="20"/>
        <v>1</v>
      </c>
      <c r="H69" s="145"/>
    </row>
    <row r="70" spans="1:8" x14ac:dyDescent="0.25">
      <c r="A70" s="118"/>
      <c r="B70" s="143"/>
      <c r="C70" s="12" t="s">
        <v>106</v>
      </c>
      <c r="D70" s="76" t="s">
        <v>29</v>
      </c>
      <c r="E70" s="77">
        <v>1</v>
      </c>
      <c r="F70" s="77">
        <v>1</v>
      </c>
      <c r="G70" s="78">
        <f t="shared" si="20"/>
        <v>1</v>
      </c>
      <c r="H70" s="145"/>
    </row>
    <row r="71" spans="1:8" x14ac:dyDescent="0.25">
      <c r="A71" s="118" t="s">
        <v>52</v>
      </c>
      <c r="B71" s="143">
        <v>42725</v>
      </c>
      <c r="C71" s="12" t="s">
        <v>44</v>
      </c>
      <c r="D71" s="76" t="s">
        <v>29</v>
      </c>
      <c r="E71" s="77">
        <v>1</v>
      </c>
      <c r="F71" s="77">
        <v>1</v>
      </c>
      <c r="G71" s="78">
        <f t="shared" si="20"/>
        <v>1</v>
      </c>
      <c r="H71" s="145"/>
    </row>
    <row r="72" spans="1:8" x14ac:dyDescent="0.25">
      <c r="A72" s="118"/>
      <c r="B72" s="143"/>
      <c r="C72" s="12" t="s">
        <v>32</v>
      </c>
      <c r="D72" s="76" t="s">
        <v>29</v>
      </c>
      <c r="E72" s="77">
        <v>1</v>
      </c>
      <c r="F72" s="77">
        <v>1</v>
      </c>
      <c r="G72" s="78">
        <f t="shared" si="20"/>
        <v>1</v>
      </c>
      <c r="H72" s="145"/>
    </row>
    <row r="73" spans="1:8" x14ac:dyDescent="0.25">
      <c r="A73" s="118"/>
      <c r="B73" s="143"/>
      <c r="C73" s="12" t="s">
        <v>75</v>
      </c>
      <c r="D73" s="76" t="s">
        <v>29</v>
      </c>
      <c r="E73" s="77">
        <v>1</v>
      </c>
      <c r="F73" s="77">
        <v>1</v>
      </c>
      <c r="G73" s="78">
        <f t="shared" si="20"/>
        <v>1</v>
      </c>
      <c r="H73" s="145"/>
    </row>
    <row r="74" spans="1:8" x14ac:dyDescent="0.25">
      <c r="A74" s="118"/>
      <c r="B74" s="143"/>
      <c r="C74" s="12" t="s">
        <v>108</v>
      </c>
      <c r="D74" s="76" t="s">
        <v>29</v>
      </c>
      <c r="E74" s="77">
        <v>1</v>
      </c>
      <c r="F74" s="77">
        <v>1</v>
      </c>
      <c r="G74" s="78">
        <f t="shared" si="20"/>
        <v>1</v>
      </c>
      <c r="H74" s="145"/>
    </row>
    <row r="75" spans="1:8" x14ac:dyDescent="0.25">
      <c r="A75" s="118"/>
      <c r="B75" s="143"/>
      <c r="C75" s="12" t="s">
        <v>107</v>
      </c>
      <c r="D75" s="76" t="s">
        <v>29</v>
      </c>
      <c r="E75" s="77">
        <v>1</v>
      </c>
      <c r="F75" s="77">
        <v>1</v>
      </c>
      <c r="G75" s="78">
        <f t="shared" si="20"/>
        <v>1</v>
      </c>
      <c r="H75" s="145"/>
    </row>
    <row r="76" spans="1:8" x14ac:dyDescent="0.25">
      <c r="A76" s="97" t="s">
        <v>53</v>
      </c>
      <c r="B76" s="100">
        <v>42726</v>
      </c>
      <c r="C76" s="12" t="s">
        <v>44</v>
      </c>
      <c r="D76" s="76" t="s">
        <v>29</v>
      </c>
      <c r="E76" s="77">
        <v>1</v>
      </c>
      <c r="F76" s="77">
        <v>1</v>
      </c>
      <c r="G76" s="78">
        <f t="shared" si="20"/>
        <v>1</v>
      </c>
      <c r="H76" s="145"/>
    </row>
    <row r="77" spans="1:8" x14ac:dyDescent="0.25">
      <c r="A77" s="98"/>
      <c r="B77" s="101"/>
      <c r="C77" s="12" t="s">
        <v>32</v>
      </c>
      <c r="D77" s="76" t="s">
        <v>29</v>
      </c>
      <c r="E77" s="77">
        <v>1</v>
      </c>
      <c r="F77" s="77">
        <v>1</v>
      </c>
      <c r="G77" s="78">
        <f t="shared" si="20"/>
        <v>1</v>
      </c>
      <c r="H77" s="145"/>
    </row>
    <row r="78" spans="1:8" x14ac:dyDescent="0.25">
      <c r="A78" s="98"/>
      <c r="B78" s="102"/>
      <c r="C78" s="12" t="s">
        <v>117</v>
      </c>
      <c r="D78" s="76" t="s">
        <v>29</v>
      </c>
      <c r="E78" s="77">
        <v>1</v>
      </c>
      <c r="F78" s="77">
        <v>1</v>
      </c>
      <c r="G78" s="78">
        <f t="shared" si="20"/>
        <v>1</v>
      </c>
      <c r="H78" s="145"/>
    </row>
    <row r="79" spans="1:8" x14ac:dyDescent="0.25">
      <c r="A79" s="97" t="s">
        <v>53</v>
      </c>
      <c r="B79" s="100">
        <v>42727</v>
      </c>
      <c r="C79" s="12" t="s">
        <v>32</v>
      </c>
      <c r="D79" s="52" t="s">
        <v>29</v>
      </c>
      <c r="E79" s="31">
        <v>1</v>
      </c>
      <c r="F79" s="31">
        <v>1</v>
      </c>
      <c r="G79" s="14">
        <f t="shared" ref="G79" si="21">F79/E79</f>
        <v>1</v>
      </c>
      <c r="H79" s="20"/>
    </row>
    <row r="80" spans="1:8" x14ac:dyDescent="0.25">
      <c r="A80" s="98"/>
      <c r="B80" s="101"/>
      <c r="C80" s="12" t="s">
        <v>44</v>
      </c>
      <c r="D80" s="52" t="s">
        <v>29</v>
      </c>
      <c r="E80" s="31">
        <v>1</v>
      </c>
      <c r="F80" s="31">
        <v>1</v>
      </c>
      <c r="G80" s="14">
        <f t="shared" ref="G80:G81" si="22">F80/E80</f>
        <v>1</v>
      </c>
      <c r="H80" s="20"/>
    </row>
    <row r="81" spans="1:8" x14ac:dyDescent="0.25">
      <c r="A81" s="98"/>
      <c r="B81" s="101"/>
      <c r="C81" s="59" t="s">
        <v>109</v>
      </c>
      <c r="D81" s="52" t="s">
        <v>29</v>
      </c>
      <c r="E81" s="31">
        <v>1</v>
      </c>
      <c r="F81" s="31">
        <v>1</v>
      </c>
      <c r="G81" s="14">
        <f t="shared" si="22"/>
        <v>1</v>
      </c>
      <c r="H81" s="20"/>
    </row>
    <row r="82" spans="1:8" x14ac:dyDescent="0.25">
      <c r="A82" s="97" t="s">
        <v>46</v>
      </c>
      <c r="B82" s="100">
        <v>42731</v>
      </c>
      <c r="C82" s="12" t="s">
        <v>44</v>
      </c>
      <c r="D82" s="52" t="s">
        <v>29</v>
      </c>
      <c r="E82" s="31">
        <v>1</v>
      </c>
      <c r="F82" s="31">
        <v>1</v>
      </c>
      <c r="G82" s="14">
        <f t="shared" ref="G82:G86" si="23">F82/E82</f>
        <v>1</v>
      </c>
      <c r="H82" s="20"/>
    </row>
    <row r="83" spans="1:8" x14ac:dyDescent="0.25">
      <c r="A83" s="98"/>
      <c r="B83" s="101"/>
      <c r="C83" s="12" t="s">
        <v>32</v>
      </c>
      <c r="D83" s="52" t="s">
        <v>29</v>
      </c>
      <c r="E83" s="31">
        <v>1</v>
      </c>
      <c r="F83" s="31">
        <v>1</v>
      </c>
      <c r="G83" s="14">
        <f t="shared" si="23"/>
        <v>1</v>
      </c>
      <c r="H83" s="20"/>
    </row>
    <row r="84" spans="1:8" x14ac:dyDescent="0.25">
      <c r="A84" s="98"/>
      <c r="B84" s="101"/>
      <c r="C84" s="12" t="s">
        <v>110</v>
      </c>
      <c r="D84" s="52" t="s">
        <v>29</v>
      </c>
      <c r="E84" s="31">
        <v>1</v>
      </c>
      <c r="F84" s="31">
        <v>1</v>
      </c>
      <c r="G84" s="14">
        <f t="shared" ref="G84" si="24">F84/E84</f>
        <v>1</v>
      </c>
      <c r="H84" s="20"/>
    </row>
    <row r="85" spans="1:8" x14ac:dyDescent="0.25">
      <c r="A85" s="98"/>
      <c r="B85" s="101"/>
      <c r="C85" s="12" t="s">
        <v>112</v>
      </c>
      <c r="D85" s="76" t="s">
        <v>29</v>
      </c>
      <c r="E85" s="77">
        <v>1</v>
      </c>
      <c r="F85" s="77">
        <v>1</v>
      </c>
      <c r="G85" s="78">
        <f t="shared" ref="G85" si="25">F85/E85</f>
        <v>1</v>
      </c>
      <c r="H85" s="79"/>
    </row>
    <row r="86" spans="1:8" x14ac:dyDescent="0.25">
      <c r="A86" s="98"/>
      <c r="B86" s="101"/>
      <c r="C86" s="12" t="s">
        <v>111</v>
      </c>
      <c r="D86" s="52" t="s">
        <v>29</v>
      </c>
      <c r="E86" s="31">
        <v>1</v>
      </c>
      <c r="F86" s="31">
        <v>1</v>
      </c>
      <c r="G86" s="14">
        <f t="shared" si="23"/>
        <v>1</v>
      </c>
      <c r="H86" s="20"/>
    </row>
    <row r="87" spans="1:8" x14ac:dyDescent="0.25">
      <c r="A87" s="98"/>
      <c r="B87" s="101"/>
      <c r="C87" s="12" t="s">
        <v>113</v>
      </c>
      <c r="D87" s="52" t="s">
        <v>29</v>
      </c>
      <c r="E87" s="31">
        <v>1</v>
      </c>
      <c r="F87" s="31">
        <v>1</v>
      </c>
      <c r="G87" s="14">
        <f t="shared" ref="G87:G91" si="26">F87/E87</f>
        <v>1</v>
      </c>
      <c r="H87" s="20"/>
    </row>
    <row r="88" spans="1:8" x14ac:dyDescent="0.25">
      <c r="A88" s="99"/>
      <c r="B88" s="102"/>
      <c r="C88" s="144" t="s">
        <v>114</v>
      </c>
      <c r="D88" s="52" t="s">
        <v>29</v>
      </c>
      <c r="E88" s="31">
        <v>1</v>
      </c>
      <c r="F88" s="31">
        <v>1</v>
      </c>
      <c r="G88" s="14">
        <f t="shared" si="26"/>
        <v>1</v>
      </c>
      <c r="H88" s="20"/>
    </row>
    <row r="89" spans="1:8" ht="30" x14ac:dyDescent="0.25">
      <c r="A89" s="144" t="s">
        <v>122</v>
      </c>
      <c r="B89" s="146" t="s">
        <v>123</v>
      </c>
      <c r="C89" s="12" t="s">
        <v>124</v>
      </c>
      <c r="D89" s="52" t="s">
        <v>29</v>
      </c>
      <c r="E89" s="31">
        <v>1</v>
      </c>
      <c r="F89" s="31">
        <v>1</v>
      </c>
      <c r="G89" s="14">
        <f>F89/E89</f>
        <v>1</v>
      </c>
      <c r="H89" s="20"/>
    </row>
    <row r="90" spans="1:8" x14ac:dyDescent="0.25">
      <c r="A90" s="118" t="s">
        <v>81</v>
      </c>
      <c r="B90" s="143">
        <v>42734</v>
      </c>
      <c r="C90" s="12" t="s">
        <v>80</v>
      </c>
      <c r="D90" s="76" t="s">
        <v>29</v>
      </c>
      <c r="E90" s="77">
        <v>1</v>
      </c>
      <c r="F90" s="77">
        <v>1</v>
      </c>
      <c r="G90" s="78">
        <f t="shared" ref="G90" si="27">F90/E90</f>
        <v>1</v>
      </c>
      <c r="H90" s="79"/>
    </row>
    <row r="91" spans="1:8" x14ac:dyDescent="0.25">
      <c r="A91" s="118"/>
      <c r="B91" s="143"/>
      <c r="C91" s="12" t="s">
        <v>115</v>
      </c>
      <c r="D91" s="52" t="s">
        <v>29</v>
      </c>
      <c r="E91" s="31">
        <v>1</v>
      </c>
      <c r="F91" s="31">
        <v>1</v>
      </c>
      <c r="G91" s="14">
        <f t="shared" si="26"/>
        <v>1</v>
      </c>
      <c r="H91" s="20"/>
    </row>
    <row r="92" spans="1:8" x14ac:dyDescent="0.25">
      <c r="A92" s="118"/>
      <c r="B92" s="143"/>
      <c r="C92" s="12" t="s">
        <v>44</v>
      </c>
      <c r="D92" s="52" t="s">
        <v>29</v>
      </c>
      <c r="E92" s="31">
        <v>1</v>
      </c>
      <c r="F92" s="31">
        <v>1</v>
      </c>
      <c r="G92" s="14">
        <f t="shared" ref="G92:G94" si="28">F92/E92</f>
        <v>1</v>
      </c>
      <c r="H92" s="20"/>
    </row>
    <row r="93" spans="1:8" x14ac:dyDescent="0.25">
      <c r="A93" s="118"/>
      <c r="B93" s="143"/>
      <c r="C93" s="12" t="s">
        <v>32</v>
      </c>
      <c r="D93" s="52" t="s">
        <v>29</v>
      </c>
      <c r="E93" s="31">
        <v>1</v>
      </c>
      <c r="F93" s="31">
        <v>1</v>
      </c>
      <c r="G93" s="14">
        <f t="shared" si="28"/>
        <v>1</v>
      </c>
      <c r="H93" s="20"/>
    </row>
    <row r="94" spans="1:8" x14ac:dyDescent="0.25">
      <c r="A94" s="118"/>
      <c r="B94" s="143"/>
      <c r="C94" s="12" t="s">
        <v>116</v>
      </c>
      <c r="D94" s="76" t="s">
        <v>29</v>
      </c>
      <c r="E94" s="77">
        <v>1</v>
      </c>
      <c r="F94" s="77">
        <v>1</v>
      </c>
      <c r="G94" s="14">
        <f t="shared" si="28"/>
        <v>1</v>
      </c>
      <c r="H94" s="20"/>
    </row>
    <row r="95" spans="1:8" x14ac:dyDescent="0.25">
      <c r="A95" s="32"/>
      <c r="B95" s="25"/>
      <c r="C95" s="27"/>
      <c r="D95" s="25"/>
      <c r="E95" s="26"/>
      <c r="F95" s="26"/>
      <c r="G95" s="28"/>
      <c r="H95" s="25"/>
    </row>
    <row r="96" spans="1:8" x14ac:dyDescent="0.25">
      <c r="A96" s="32"/>
      <c r="B96" s="53" t="s">
        <v>15</v>
      </c>
      <c r="C96" s="25"/>
      <c r="D96" s="25"/>
      <c r="E96" s="25"/>
      <c r="F96" s="25"/>
      <c r="G96" s="25"/>
      <c r="H96" s="11"/>
    </row>
    <row r="97" spans="1:8" x14ac:dyDescent="0.25">
      <c r="A97" s="32"/>
      <c r="B97" s="54" t="s">
        <v>119</v>
      </c>
      <c r="C97" s="53"/>
      <c r="D97" s="11"/>
      <c r="E97" s="51"/>
      <c r="F97" s="6"/>
      <c r="G97" s="48"/>
      <c r="H97" s="11"/>
    </row>
    <row r="98" spans="1:8" x14ac:dyDescent="0.25">
      <c r="A98" s="32"/>
      <c r="B98" s="17"/>
      <c r="C98" s="54"/>
      <c r="D98" s="11"/>
      <c r="E98" s="51"/>
      <c r="F98" s="6"/>
      <c r="G98" s="48"/>
      <c r="H98" s="11"/>
    </row>
    <row r="99" spans="1:8" x14ac:dyDescent="0.25">
      <c r="A99" s="32"/>
      <c r="B99" s="16"/>
      <c r="C99" s="11"/>
      <c r="D99" s="11"/>
      <c r="E99" s="51"/>
      <c r="F99" s="6"/>
      <c r="G99" s="48"/>
    </row>
    <row r="100" spans="1:8" x14ac:dyDescent="0.25">
      <c r="A100" s="32"/>
      <c r="B100" s="36" t="s">
        <v>16</v>
      </c>
      <c r="C100" s="36"/>
      <c r="D100" s="36"/>
      <c r="H100" s="35"/>
    </row>
    <row r="101" spans="1:8" x14ac:dyDescent="0.25">
      <c r="A101" s="32"/>
      <c r="B101" s="49" t="s">
        <v>39</v>
      </c>
      <c r="C101" s="49"/>
      <c r="F101" s="94" t="s">
        <v>41</v>
      </c>
      <c r="G101" s="94"/>
      <c r="H101" s="94"/>
    </row>
    <row r="102" spans="1:8" x14ac:dyDescent="0.25">
      <c r="A102" s="32"/>
      <c r="B102" s="49"/>
      <c r="C102" s="49"/>
      <c r="E102" s="36"/>
      <c r="F102" s="94" t="s">
        <v>42</v>
      </c>
      <c r="G102" s="94"/>
      <c r="H102" s="94"/>
    </row>
    <row r="103" spans="1:8" x14ac:dyDescent="0.25">
      <c r="A103" s="32"/>
      <c r="B103" s="17"/>
      <c r="C103" s="49"/>
      <c r="D103" s="36"/>
      <c r="E103" s="36"/>
      <c r="F103" s="48"/>
      <c r="G103" s="48"/>
      <c r="H103" s="11"/>
    </row>
    <row r="104" spans="1:8" x14ac:dyDescent="0.25">
      <c r="A104" s="32"/>
      <c r="B104" s="16"/>
      <c r="C104" s="11"/>
      <c r="D104" s="11"/>
      <c r="E104" s="51"/>
      <c r="F104" s="6"/>
      <c r="G104" s="48"/>
      <c r="H104" s="47"/>
    </row>
    <row r="105" spans="1:8" x14ac:dyDescent="0.25">
      <c r="A105" s="32"/>
      <c r="B105" s="37" t="s">
        <v>36</v>
      </c>
      <c r="C105" s="50"/>
      <c r="D105" s="50"/>
      <c r="E105" s="50"/>
      <c r="F105" s="47"/>
      <c r="G105" s="47" t="s">
        <v>43</v>
      </c>
      <c r="H105" s="48"/>
    </row>
    <row r="106" spans="1:8" x14ac:dyDescent="0.25">
      <c r="A106" s="32"/>
      <c r="B106" s="11" t="s">
        <v>37</v>
      </c>
      <c r="C106" s="51"/>
      <c r="D106" s="51"/>
      <c r="E106" s="51"/>
      <c r="F106" s="48"/>
      <c r="G106" s="48" t="s">
        <v>38</v>
      </c>
    </row>
  </sheetData>
  <mergeCells count="50">
    <mergeCell ref="A90:A94"/>
    <mergeCell ref="B90:B94"/>
    <mergeCell ref="A82:A88"/>
    <mergeCell ref="B82:B88"/>
    <mergeCell ref="A71:A75"/>
    <mergeCell ref="B71:B75"/>
    <mergeCell ref="A76:A78"/>
    <mergeCell ref="B76:B78"/>
    <mergeCell ref="A32:A34"/>
    <mergeCell ref="B32:B34"/>
    <mergeCell ref="A64:A67"/>
    <mergeCell ref="B64:B67"/>
    <mergeCell ref="A68:A70"/>
    <mergeCell ref="B68:B70"/>
    <mergeCell ref="A59:A63"/>
    <mergeCell ref="B59:B63"/>
    <mergeCell ref="B11:B15"/>
    <mergeCell ref="A11:A15"/>
    <mergeCell ref="A38:A42"/>
    <mergeCell ref="B38:B42"/>
    <mergeCell ref="A47:A53"/>
    <mergeCell ref="B47:B53"/>
    <mergeCell ref="A24:A31"/>
    <mergeCell ref="B24:B31"/>
    <mergeCell ref="A35:A37"/>
    <mergeCell ref="B35:B37"/>
    <mergeCell ref="B16:B19"/>
    <mergeCell ref="A16:A19"/>
    <mergeCell ref="A20:A23"/>
    <mergeCell ref="B20:B23"/>
    <mergeCell ref="F101:H101"/>
    <mergeCell ref="F102:H102"/>
    <mergeCell ref="A43:A46"/>
    <mergeCell ref="B43:B46"/>
    <mergeCell ref="A54:A58"/>
    <mergeCell ref="B54:B58"/>
    <mergeCell ref="B79:B81"/>
    <mergeCell ref="A79:A81"/>
    <mergeCell ref="A1:H1"/>
    <mergeCell ref="A8:B9"/>
    <mergeCell ref="A10:B10"/>
    <mergeCell ref="C8:C9"/>
    <mergeCell ref="E8:E9"/>
    <mergeCell ref="D8:D9"/>
    <mergeCell ref="F8:G8"/>
    <mergeCell ref="H8:H9"/>
    <mergeCell ref="A2:H2"/>
    <mergeCell ref="D3:H7"/>
    <mergeCell ref="A3:A7"/>
    <mergeCell ref="B7:C7"/>
  </mergeCells>
  <printOptions horizontalCentered="1"/>
  <pageMargins left="0.36" right="0.3" top="0.75" bottom="0.75" header="0.3" footer="0.3"/>
  <pageSetup paperSize="9" scale="73" fitToHeight="0" orientation="portrait" r:id="rId1"/>
  <rowBreaks count="1" manualBreakCount="1">
    <brk id="63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tabSelected="1" view="pageBreakPreview" zoomScale="80" zoomScaleNormal="80" zoomScaleSheetLayoutView="80" workbookViewId="0">
      <selection activeCell="C1" sqref="C1"/>
    </sheetView>
  </sheetViews>
  <sheetFormatPr defaultRowHeight="15" x14ac:dyDescent="0.25"/>
  <cols>
    <col min="1" max="1" width="4.7109375" customWidth="1"/>
    <col min="2" max="2" width="20.42578125" customWidth="1"/>
    <col min="3" max="3" width="47.85546875" customWidth="1"/>
    <col min="4" max="4" width="48.5703125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15"/>
    <col min="15" max="15" width="18.5703125" style="15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A2" s="126"/>
      <c r="B2" s="126"/>
      <c r="C2" s="126"/>
      <c r="D2" s="126"/>
      <c r="E2" s="126"/>
      <c r="F2" s="126"/>
      <c r="G2" s="128"/>
      <c r="H2" s="87" t="s">
        <v>18</v>
      </c>
      <c r="I2" s="88"/>
      <c r="J2" s="129"/>
      <c r="K2" s="126"/>
    </row>
    <row r="3" spans="1:25" ht="18.75" x14ac:dyDescent="0.3">
      <c r="A3" s="89" t="s">
        <v>48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25" ht="18.75" x14ac:dyDescent="0.3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25" x14ac:dyDescent="0.25">
      <c r="A5" s="123" t="s">
        <v>1</v>
      </c>
      <c r="B5" s="123"/>
      <c r="C5" t="s">
        <v>2</v>
      </c>
      <c r="D5" s="126"/>
      <c r="E5" s="126"/>
      <c r="F5" s="126"/>
      <c r="G5" s="126"/>
      <c r="H5" s="126"/>
      <c r="I5" s="126"/>
      <c r="J5" s="126"/>
      <c r="K5" s="126"/>
    </row>
    <row r="6" spans="1:25" x14ac:dyDescent="0.25">
      <c r="A6" s="123" t="s">
        <v>3</v>
      </c>
      <c r="B6" s="123"/>
      <c r="C6" s="7" t="s">
        <v>33</v>
      </c>
      <c r="D6" s="126"/>
      <c r="E6" s="126"/>
      <c r="F6" s="126"/>
      <c r="G6" s="126"/>
      <c r="H6" s="126"/>
      <c r="I6" s="126"/>
      <c r="J6" s="126"/>
      <c r="K6" s="126"/>
    </row>
    <row r="7" spans="1:25" x14ac:dyDescent="0.25">
      <c r="A7" s="123" t="s">
        <v>4</v>
      </c>
      <c r="B7" s="123"/>
      <c r="C7" s="7" t="s">
        <v>34</v>
      </c>
      <c r="D7" s="126"/>
      <c r="E7" s="126"/>
      <c r="F7" s="126"/>
      <c r="G7" s="126"/>
      <c r="H7" s="126"/>
      <c r="I7" s="126"/>
      <c r="J7" s="126"/>
      <c r="K7" s="126"/>
    </row>
    <row r="8" spans="1:25" x14ac:dyDescent="0.25">
      <c r="A8" s="123" t="s">
        <v>5</v>
      </c>
      <c r="B8" s="123"/>
      <c r="C8" t="s">
        <v>71</v>
      </c>
      <c r="D8" s="126"/>
      <c r="E8" s="126"/>
      <c r="F8" s="126"/>
      <c r="G8" s="126"/>
      <c r="H8" s="126"/>
      <c r="I8" s="126"/>
      <c r="J8" s="126"/>
      <c r="K8" s="126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5" ht="15.75" customHeight="1" thickBot="1" x14ac:dyDescent="0.3">
      <c r="A9" s="94"/>
      <c r="B9" s="94"/>
      <c r="C9" s="94"/>
      <c r="D9" s="94"/>
      <c r="E9" s="94"/>
      <c r="F9" s="94"/>
      <c r="G9" s="94"/>
      <c r="H9" s="94"/>
      <c r="I9" s="127"/>
      <c r="J9" s="127"/>
      <c r="K9" s="127"/>
      <c r="L9" s="18"/>
      <c r="M9" s="22"/>
      <c r="N9" s="22"/>
      <c r="O9" s="22"/>
      <c r="P9" s="22"/>
      <c r="Q9" s="30"/>
      <c r="R9" s="30"/>
      <c r="S9" s="30"/>
      <c r="T9" s="30"/>
      <c r="U9" s="30"/>
      <c r="V9" s="30"/>
      <c r="W9" s="30"/>
      <c r="X9" s="30"/>
      <c r="Y9" s="30"/>
    </row>
    <row r="10" spans="1:25" ht="15" customHeight="1" x14ac:dyDescent="0.25">
      <c r="A10" s="90" t="s">
        <v>6</v>
      </c>
      <c r="B10" s="90" t="s">
        <v>7</v>
      </c>
      <c r="C10" s="90"/>
      <c r="D10" s="124" t="s">
        <v>26</v>
      </c>
      <c r="E10" s="124" t="s">
        <v>9</v>
      </c>
      <c r="F10" s="124"/>
      <c r="G10" s="124"/>
      <c r="H10" s="125" t="s">
        <v>10</v>
      </c>
      <c r="I10" s="135" t="s">
        <v>30</v>
      </c>
      <c r="J10" s="137" t="s">
        <v>31</v>
      </c>
      <c r="K10" s="133" t="s">
        <v>11</v>
      </c>
      <c r="L10" s="19"/>
      <c r="M10" s="22"/>
      <c r="N10" s="22"/>
      <c r="O10" s="22"/>
      <c r="P10" s="22"/>
      <c r="Q10" s="30"/>
      <c r="R10" s="30"/>
      <c r="S10" s="30"/>
      <c r="T10" s="30"/>
      <c r="U10" s="30"/>
      <c r="V10" s="30"/>
      <c r="W10" s="30"/>
      <c r="X10" s="30"/>
      <c r="Y10" s="30"/>
    </row>
    <row r="11" spans="1:25" ht="31.5" customHeight="1" x14ac:dyDescent="0.25">
      <c r="A11" s="90"/>
      <c r="B11" s="90"/>
      <c r="C11" s="90"/>
      <c r="D11" s="124"/>
      <c r="E11" s="63" t="s">
        <v>12</v>
      </c>
      <c r="F11" s="63" t="s">
        <v>13</v>
      </c>
      <c r="G11" s="63" t="s">
        <v>14</v>
      </c>
      <c r="H11" s="125"/>
      <c r="I11" s="136"/>
      <c r="J11" s="138"/>
      <c r="K11" s="134"/>
      <c r="L11" s="19"/>
      <c r="M11" s="22"/>
      <c r="N11" s="22"/>
      <c r="O11" s="22"/>
      <c r="P11" s="22"/>
      <c r="Q11" s="30"/>
      <c r="R11" s="30"/>
      <c r="S11" s="30"/>
      <c r="T11" s="30"/>
      <c r="U11" s="30"/>
      <c r="V11" s="30"/>
      <c r="W11" s="30"/>
      <c r="X11" s="30"/>
      <c r="Y11" s="30"/>
    </row>
    <row r="12" spans="1:25" ht="15" customHeight="1" x14ac:dyDescent="0.25">
      <c r="A12" s="61">
        <v>-1</v>
      </c>
      <c r="B12" s="86">
        <f>A12-1</f>
        <v>-2</v>
      </c>
      <c r="C12" s="86"/>
      <c r="D12" s="61">
        <f>B12-1</f>
        <v>-3</v>
      </c>
      <c r="E12" s="61">
        <f t="shared" ref="E12:K12" si="0">D12-1</f>
        <v>-4</v>
      </c>
      <c r="F12" s="61">
        <f t="shared" si="0"/>
        <v>-5</v>
      </c>
      <c r="G12" s="61">
        <f t="shared" si="0"/>
        <v>-6</v>
      </c>
      <c r="H12" s="61">
        <f t="shared" si="0"/>
        <v>-7</v>
      </c>
      <c r="I12" s="69">
        <f t="shared" si="0"/>
        <v>-8</v>
      </c>
      <c r="J12" s="2">
        <f t="shared" si="0"/>
        <v>-9</v>
      </c>
      <c r="K12" s="23">
        <f t="shared" si="0"/>
        <v>-10</v>
      </c>
      <c r="L12" s="19"/>
      <c r="M12" s="22"/>
      <c r="N12" s="22"/>
      <c r="O12" s="22"/>
      <c r="P12" s="22"/>
      <c r="Q12" s="30"/>
      <c r="R12" s="30"/>
      <c r="S12" s="30"/>
      <c r="T12" s="30"/>
      <c r="U12" s="30"/>
      <c r="V12" s="30"/>
      <c r="W12" s="30"/>
      <c r="X12" s="30"/>
      <c r="Y12" s="30"/>
    </row>
    <row r="13" spans="1:25" ht="15" customHeight="1" x14ac:dyDescent="0.25">
      <c r="A13" s="121" t="s">
        <v>67</v>
      </c>
      <c r="B13" s="121"/>
      <c r="C13" s="121"/>
      <c r="D13" s="121"/>
      <c r="E13" s="61"/>
      <c r="F13" s="61"/>
      <c r="G13" s="61"/>
      <c r="H13" s="61"/>
      <c r="I13" s="69"/>
      <c r="J13" s="60"/>
      <c r="K13" s="23"/>
      <c r="L13" s="19"/>
      <c r="M13" s="22"/>
      <c r="N13" s="22"/>
      <c r="O13" s="22"/>
      <c r="P13" s="22"/>
      <c r="Q13" s="30"/>
      <c r="R13" s="30"/>
      <c r="S13" s="30"/>
      <c r="T13" s="30"/>
      <c r="U13" s="30"/>
      <c r="V13" s="30"/>
      <c r="W13" s="30"/>
      <c r="X13" s="30"/>
      <c r="Y13" s="30"/>
    </row>
    <row r="14" spans="1:25" x14ac:dyDescent="0.25">
      <c r="A14" s="62">
        <v>1</v>
      </c>
      <c r="B14" s="85" t="s">
        <v>49</v>
      </c>
      <c r="C14" s="85"/>
      <c r="D14" s="45" t="s">
        <v>35</v>
      </c>
      <c r="E14" s="62">
        <v>2</v>
      </c>
      <c r="F14" s="62">
        <v>2</v>
      </c>
      <c r="G14" s="45">
        <f>F14/E14*100</f>
        <v>100</v>
      </c>
      <c r="H14" s="45">
        <v>100</v>
      </c>
      <c r="I14" s="70"/>
      <c r="J14" s="24">
        <f t="shared" ref="J14:J15" si="1">0.01*F14</f>
        <v>0.02</v>
      </c>
      <c r="K14" s="34"/>
      <c r="L14" s="19"/>
      <c r="M14" s="22"/>
      <c r="N14" s="22"/>
      <c r="O14" s="22"/>
      <c r="P14" s="22"/>
      <c r="Q14" s="30"/>
      <c r="R14" s="30"/>
      <c r="S14" s="30"/>
      <c r="T14" s="30"/>
      <c r="U14" s="30"/>
      <c r="V14" s="30"/>
      <c r="W14" s="30"/>
      <c r="X14" s="30"/>
      <c r="Y14" s="30"/>
    </row>
    <row r="15" spans="1:25" ht="15" customHeight="1" x14ac:dyDescent="0.25">
      <c r="A15" s="62">
        <v>2</v>
      </c>
      <c r="B15" s="85" t="s">
        <v>57</v>
      </c>
      <c r="C15" s="85"/>
      <c r="D15" s="45" t="s">
        <v>35</v>
      </c>
      <c r="E15" s="62">
        <v>1</v>
      </c>
      <c r="F15" s="62">
        <v>1</v>
      </c>
      <c r="G15" s="45">
        <f t="shared" ref="G15:G21" si="2">F15/E15*100</f>
        <v>100</v>
      </c>
      <c r="H15" s="45">
        <v>100</v>
      </c>
      <c r="I15" s="70"/>
      <c r="J15" s="24">
        <f t="shared" si="1"/>
        <v>0.01</v>
      </c>
      <c r="K15" s="34"/>
      <c r="L15" s="19"/>
      <c r="M15" s="22"/>
      <c r="N15" s="22"/>
      <c r="O15" s="22"/>
      <c r="P15" s="22"/>
      <c r="Q15" s="30"/>
      <c r="R15" s="30"/>
      <c r="S15" s="30"/>
      <c r="T15" s="30"/>
      <c r="U15" s="30"/>
      <c r="V15" s="30"/>
      <c r="W15" s="30"/>
      <c r="X15" s="30"/>
      <c r="Y15" s="30"/>
    </row>
    <row r="16" spans="1:25" x14ac:dyDescent="0.25">
      <c r="A16" s="62">
        <v>3</v>
      </c>
      <c r="B16" s="85" t="s">
        <v>120</v>
      </c>
      <c r="C16" s="85"/>
      <c r="D16" s="45" t="s">
        <v>76</v>
      </c>
      <c r="E16" s="62">
        <v>1</v>
      </c>
      <c r="F16" s="62">
        <v>1</v>
      </c>
      <c r="G16" s="45">
        <f t="shared" si="2"/>
        <v>100</v>
      </c>
      <c r="H16" s="45">
        <v>100</v>
      </c>
      <c r="I16" s="70"/>
      <c r="J16" s="24">
        <f>0.36*F16</f>
        <v>0.36</v>
      </c>
      <c r="K16" s="34"/>
      <c r="L16" s="19"/>
      <c r="M16" s="22"/>
      <c r="N16" s="22"/>
      <c r="O16" s="22"/>
      <c r="P16" s="22"/>
      <c r="Q16" s="30"/>
      <c r="R16" s="30"/>
      <c r="S16" s="30"/>
      <c r="T16" s="30"/>
      <c r="U16" s="30"/>
      <c r="V16" s="30"/>
      <c r="W16" s="30"/>
      <c r="X16" s="30"/>
      <c r="Y16" s="30"/>
    </row>
    <row r="17" spans="1:25" ht="15" customHeight="1" x14ac:dyDescent="0.25">
      <c r="A17" s="62">
        <v>4</v>
      </c>
      <c r="B17" s="85" t="s">
        <v>94</v>
      </c>
      <c r="C17" s="85"/>
      <c r="D17" s="45" t="s">
        <v>35</v>
      </c>
      <c r="E17" s="62">
        <v>1</v>
      </c>
      <c r="F17" s="62">
        <v>1</v>
      </c>
      <c r="G17" s="45">
        <f t="shared" si="2"/>
        <v>100</v>
      </c>
      <c r="H17" s="45">
        <v>100</v>
      </c>
      <c r="I17" s="70"/>
      <c r="J17" s="24">
        <f>0.01*F17</f>
        <v>0.01</v>
      </c>
      <c r="K17" s="34"/>
      <c r="L17" s="19"/>
      <c r="M17" s="22"/>
      <c r="N17" s="22"/>
      <c r="O17" s="22"/>
      <c r="P17" s="22"/>
      <c r="Q17" s="30"/>
      <c r="R17" s="30"/>
      <c r="S17" s="30"/>
      <c r="T17" s="30"/>
      <c r="U17" s="30"/>
      <c r="V17" s="30"/>
      <c r="W17" s="30"/>
      <c r="X17" s="30"/>
      <c r="Y17" s="30"/>
    </row>
    <row r="18" spans="1:25" ht="15" customHeight="1" x14ac:dyDescent="0.25">
      <c r="A18" s="62">
        <v>5</v>
      </c>
      <c r="B18" s="85" t="s">
        <v>65</v>
      </c>
      <c r="C18" s="85"/>
      <c r="D18" s="45" t="s">
        <v>35</v>
      </c>
      <c r="E18" s="62">
        <v>1</v>
      </c>
      <c r="F18" s="62">
        <v>1</v>
      </c>
      <c r="G18" s="45">
        <f t="shared" ref="G18" si="3">F18/E18*100</f>
        <v>100</v>
      </c>
      <c r="H18" s="45">
        <v>100</v>
      </c>
      <c r="I18" s="70"/>
      <c r="J18" s="24">
        <f>0.01*F18</f>
        <v>0.01</v>
      </c>
      <c r="K18" s="34"/>
      <c r="L18" s="19"/>
      <c r="M18" s="22"/>
      <c r="N18" s="22"/>
      <c r="O18" s="22"/>
      <c r="P18" s="22"/>
      <c r="Q18" s="30"/>
      <c r="R18" s="30"/>
      <c r="S18" s="30"/>
      <c r="T18" s="30"/>
      <c r="U18" s="30"/>
      <c r="V18" s="30"/>
      <c r="W18" s="30"/>
      <c r="X18" s="30"/>
      <c r="Y18" s="30"/>
    </row>
    <row r="19" spans="1:25" ht="15" customHeight="1" x14ac:dyDescent="0.25">
      <c r="A19" s="62">
        <v>6</v>
      </c>
      <c r="B19" s="85" t="s">
        <v>77</v>
      </c>
      <c r="C19" s="85"/>
      <c r="D19" s="45" t="s">
        <v>35</v>
      </c>
      <c r="E19" s="62">
        <v>1</v>
      </c>
      <c r="F19" s="62">
        <v>1</v>
      </c>
      <c r="G19" s="45">
        <f t="shared" ref="G19:G20" si="4">F19/E19*100</f>
        <v>100</v>
      </c>
      <c r="H19" s="45">
        <v>100</v>
      </c>
      <c r="I19" s="70"/>
      <c r="J19" s="24">
        <f t="shared" ref="J19:J20" si="5">0.01*F19</f>
        <v>0.01</v>
      </c>
      <c r="K19" s="34"/>
      <c r="L19" s="19"/>
      <c r="M19" s="22"/>
      <c r="N19" s="22"/>
      <c r="O19" s="22"/>
      <c r="P19" s="22"/>
      <c r="Q19" s="30"/>
      <c r="R19" s="30"/>
      <c r="S19" s="30"/>
      <c r="T19" s="30"/>
      <c r="U19" s="30"/>
      <c r="V19" s="30"/>
      <c r="W19" s="30"/>
      <c r="X19" s="30"/>
      <c r="Y19" s="30"/>
    </row>
    <row r="20" spans="1:25" ht="15" customHeight="1" x14ac:dyDescent="0.25">
      <c r="A20" s="64">
        <v>7</v>
      </c>
      <c r="B20" s="119" t="s">
        <v>121</v>
      </c>
      <c r="C20" s="120"/>
      <c r="D20" s="45" t="s">
        <v>35</v>
      </c>
      <c r="E20" s="64">
        <v>1</v>
      </c>
      <c r="F20" s="64">
        <v>1</v>
      </c>
      <c r="G20" s="45">
        <f t="shared" si="4"/>
        <v>100</v>
      </c>
      <c r="H20" s="45">
        <v>100</v>
      </c>
      <c r="I20" s="70"/>
      <c r="J20" s="24">
        <f t="shared" si="5"/>
        <v>0.01</v>
      </c>
      <c r="K20" s="34"/>
      <c r="L20" s="19"/>
      <c r="M20" s="22"/>
      <c r="N20" s="22"/>
      <c r="O20" s="22"/>
      <c r="P20" s="22"/>
      <c r="Q20" s="30"/>
      <c r="R20" s="30"/>
      <c r="S20" s="30"/>
      <c r="T20" s="30"/>
      <c r="U20" s="30"/>
      <c r="V20" s="30"/>
      <c r="W20" s="30"/>
      <c r="X20" s="30"/>
      <c r="Y20" s="30"/>
    </row>
    <row r="21" spans="1:25" ht="15" customHeight="1" x14ac:dyDescent="0.25">
      <c r="A21" s="73">
        <v>9</v>
      </c>
      <c r="B21" s="119" t="s">
        <v>58</v>
      </c>
      <c r="C21" s="120"/>
      <c r="D21" s="45" t="s">
        <v>35</v>
      </c>
      <c r="E21" s="62">
        <v>1</v>
      </c>
      <c r="F21" s="62">
        <v>1</v>
      </c>
      <c r="G21" s="45">
        <f t="shared" si="2"/>
        <v>100</v>
      </c>
      <c r="H21" s="45">
        <v>100</v>
      </c>
      <c r="I21" s="70"/>
      <c r="J21" s="24">
        <f>0.01*F21</f>
        <v>0.01</v>
      </c>
      <c r="K21" s="34"/>
      <c r="L21" s="19"/>
      <c r="M21" s="22"/>
      <c r="N21" s="22"/>
      <c r="O21" s="22"/>
      <c r="P21" s="22"/>
      <c r="Q21" s="30"/>
      <c r="R21" s="30"/>
      <c r="S21" s="30"/>
      <c r="T21" s="30"/>
      <c r="U21" s="30"/>
      <c r="V21" s="30"/>
      <c r="W21" s="30"/>
      <c r="X21" s="30"/>
      <c r="Y21" s="30"/>
    </row>
    <row r="22" spans="1:25" x14ac:dyDescent="0.25">
      <c r="A22" s="121" t="s">
        <v>68</v>
      </c>
      <c r="B22" s="121"/>
      <c r="C22" s="121"/>
      <c r="D22" s="121"/>
      <c r="E22" s="121" t="s">
        <v>131</v>
      </c>
      <c r="F22" s="121"/>
      <c r="G22" s="121"/>
      <c r="H22" s="121"/>
      <c r="I22" s="71"/>
      <c r="J22" s="65">
        <f>SUM(J14:J21)</f>
        <v>0.44000000000000006</v>
      </c>
      <c r="K22" s="13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5" x14ac:dyDescent="0.25">
      <c r="A23" s="13">
        <v>1</v>
      </c>
      <c r="B23" s="85" t="s">
        <v>69</v>
      </c>
      <c r="C23" s="85"/>
      <c r="D23" s="45" t="s">
        <v>35</v>
      </c>
      <c r="E23" s="13">
        <v>1</v>
      </c>
      <c r="F23" s="13">
        <v>1</v>
      </c>
      <c r="G23" s="13">
        <v>100</v>
      </c>
      <c r="H23" s="67"/>
      <c r="I23" s="70"/>
      <c r="J23" s="24"/>
      <c r="K23" s="130"/>
      <c r="L23" s="29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5" x14ac:dyDescent="0.25">
      <c r="A24" s="13">
        <v>2</v>
      </c>
      <c r="B24" s="85" t="s">
        <v>128</v>
      </c>
      <c r="C24" s="85"/>
      <c r="D24" s="45" t="s">
        <v>35</v>
      </c>
      <c r="E24" s="13">
        <v>3</v>
      </c>
      <c r="F24" s="13">
        <v>3</v>
      </c>
      <c r="G24" s="13">
        <v>100</v>
      </c>
      <c r="H24" s="67"/>
      <c r="I24" s="68"/>
      <c r="J24" s="66"/>
      <c r="K24" s="130"/>
      <c r="L24" s="29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5" x14ac:dyDescent="0.25">
      <c r="A25" s="13">
        <v>3</v>
      </c>
      <c r="B25" s="85" t="s">
        <v>129</v>
      </c>
      <c r="C25" s="85"/>
      <c r="D25" s="45"/>
      <c r="E25" s="13">
        <v>1</v>
      </c>
      <c r="F25" s="13">
        <v>1</v>
      </c>
      <c r="G25" s="13">
        <v>100</v>
      </c>
      <c r="H25" s="84"/>
      <c r="I25" s="68"/>
      <c r="J25" s="66"/>
      <c r="K25" s="130"/>
      <c r="L25" s="29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5" x14ac:dyDescent="0.25">
      <c r="A26" s="13">
        <v>4</v>
      </c>
      <c r="B26" s="150" t="s">
        <v>85</v>
      </c>
      <c r="C26" s="151"/>
      <c r="D26" s="45" t="s">
        <v>35</v>
      </c>
      <c r="E26" s="13">
        <v>1</v>
      </c>
      <c r="F26" s="13">
        <v>1</v>
      </c>
      <c r="G26" s="13">
        <v>100</v>
      </c>
      <c r="H26" s="84"/>
      <c r="I26" s="68"/>
      <c r="J26" s="66"/>
      <c r="K26" s="130"/>
      <c r="L26" s="29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5" x14ac:dyDescent="0.25">
      <c r="A27" s="13">
        <v>5</v>
      </c>
      <c r="B27" s="150" t="s">
        <v>86</v>
      </c>
      <c r="C27" s="151"/>
      <c r="D27" s="45" t="s">
        <v>35</v>
      </c>
      <c r="E27" s="13">
        <v>1</v>
      </c>
      <c r="F27" s="13">
        <v>1</v>
      </c>
      <c r="G27" s="13">
        <v>100</v>
      </c>
      <c r="H27" s="84"/>
      <c r="I27" s="68"/>
      <c r="J27" s="66"/>
      <c r="K27" s="130"/>
      <c r="L27" s="29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5" x14ac:dyDescent="0.25">
      <c r="A28" s="13">
        <v>6</v>
      </c>
      <c r="B28" s="150" t="s">
        <v>87</v>
      </c>
      <c r="C28" s="151"/>
      <c r="D28" s="45" t="s">
        <v>35</v>
      </c>
      <c r="E28" s="13">
        <v>1</v>
      </c>
      <c r="F28" s="13">
        <v>1</v>
      </c>
      <c r="G28" s="13">
        <v>100</v>
      </c>
      <c r="H28" s="84"/>
      <c r="I28" s="68"/>
      <c r="J28" s="66"/>
      <c r="K28" s="130"/>
      <c r="L28" s="29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5" x14ac:dyDescent="0.25">
      <c r="A29" s="13">
        <v>7</v>
      </c>
      <c r="B29" s="150" t="s">
        <v>84</v>
      </c>
      <c r="C29" s="151"/>
      <c r="D29" s="45" t="s">
        <v>35</v>
      </c>
      <c r="E29" s="13">
        <v>1</v>
      </c>
      <c r="F29" s="13">
        <v>1</v>
      </c>
      <c r="G29" s="13">
        <v>100</v>
      </c>
      <c r="H29" s="84"/>
      <c r="I29" s="68"/>
      <c r="J29" s="66"/>
      <c r="K29" s="130"/>
      <c r="L29" s="29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5" x14ac:dyDescent="0.25">
      <c r="A30" s="13">
        <v>8</v>
      </c>
      <c r="B30" s="85" t="s">
        <v>125</v>
      </c>
      <c r="C30" s="85"/>
      <c r="D30" s="45" t="s">
        <v>35</v>
      </c>
      <c r="E30" s="13">
        <v>1</v>
      </c>
      <c r="F30" s="13">
        <v>1</v>
      </c>
      <c r="G30" s="13">
        <v>100</v>
      </c>
      <c r="H30" s="84"/>
      <c r="I30" s="68"/>
      <c r="J30" s="66"/>
      <c r="K30" s="130"/>
      <c r="L30" s="29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5" x14ac:dyDescent="0.25">
      <c r="A31" s="13">
        <v>9</v>
      </c>
      <c r="B31" s="85" t="s">
        <v>70</v>
      </c>
      <c r="C31" s="85"/>
      <c r="D31" s="45" t="s">
        <v>35</v>
      </c>
      <c r="E31" s="13">
        <v>1</v>
      </c>
      <c r="F31" s="13">
        <v>1</v>
      </c>
      <c r="G31" s="13">
        <v>100</v>
      </c>
      <c r="H31" s="67"/>
      <c r="I31" s="68"/>
      <c r="J31" s="66"/>
      <c r="K31" s="130"/>
      <c r="L31" s="29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5" x14ac:dyDescent="0.25">
      <c r="A32" s="13">
        <v>10</v>
      </c>
      <c r="B32" s="85" t="s">
        <v>63</v>
      </c>
      <c r="C32" s="85"/>
      <c r="D32" s="45" t="s">
        <v>35</v>
      </c>
      <c r="E32" s="13">
        <v>1</v>
      </c>
      <c r="F32" s="13">
        <v>1</v>
      </c>
      <c r="G32" s="13">
        <v>100</v>
      </c>
      <c r="H32" s="67"/>
      <c r="I32" s="68"/>
      <c r="J32" s="66"/>
      <c r="K32" s="130"/>
      <c r="L32" s="29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5" x14ac:dyDescent="0.25">
      <c r="A33" s="13">
        <v>11</v>
      </c>
      <c r="B33" s="85" t="s">
        <v>78</v>
      </c>
      <c r="C33" s="85"/>
      <c r="D33" s="45" t="s">
        <v>35</v>
      </c>
      <c r="E33" s="13">
        <v>1</v>
      </c>
      <c r="F33" s="13">
        <v>1</v>
      </c>
      <c r="G33" s="13">
        <v>100</v>
      </c>
      <c r="H33" s="67"/>
      <c r="I33" s="68"/>
      <c r="J33" s="66"/>
      <c r="K33" s="130"/>
      <c r="L33" s="29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5" x14ac:dyDescent="0.25">
      <c r="A34" s="13">
        <v>12</v>
      </c>
      <c r="B34" s="119" t="s">
        <v>80</v>
      </c>
      <c r="C34" s="120"/>
      <c r="D34" s="45" t="s">
        <v>35</v>
      </c>
      <c r="E34" s="13">
        <v>2</v>
      </c>
      <c r="F34" s="13">
        <v>2</v>
      </c>
      <c r="G34" s="13">
        <v>100</v>
      </c>
      <c r="H34" s="84"/>
      <c r="I34" s="68"/>
      <c r="J34" s="66"/>
      <c r="K34" s="130"/>
      <c r="L34" s="29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5" x14ac:dyDescent="0.25">
      <c r="A35" s="13">
        <v>13</v>
      </c>
      <c r="B35" s="85" t="s">
        <v>64</v>
      </c>
      <c r="C35" s="85"/>
      <c r="D35" s="45" t="s">
        <v>35</v>
      </c>
      <c r="E35" s="13">
        <v>1</v>
      </c>
      <c r="F35" s="13">
        <v>1</v>
      </c>
      <c r="G35" s="13">
        <v>100</v>
      </c>
      <c r="H35" s="67"/>
      <c r="I35" s="68"/>
      <c r="J35" s="66"/>
      <c r="K35" s="130"/>
      <c r="L35" s="29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5" x14ac:dyDescent="0.25">
      <c r="A36" s="13">
        <v>14</v>
      </c>
      <c r="B36" s="85" t="s">
        <v>130</v>
      </c>
      <c r="C36" s="85"/>
      <c r="D36" s="45" t="s">
        <v>35</v>
      </c>
      <c r="E36" s="13">
        <v>3</v>
      </c>
      <c r="F36" s="13">
        <v>3</v>
      </c>
      <c r="G36" s="13">
        <v>100</v>
      </c>
      <c r="H36" s="84"/>
      <c r="I36" s="68"/>
      <c r="J36" s="66"/>
      <c r="K36" s="130"/>
      <c r="L36" s="29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5" ht="15" customHeight="1" x14ac:dyDescent="0.25">
      <c r="A37" s="13">
        <v>15</v>
      </c>
      <c r="B37" s="85" t="s">
        <v>126</v>
      </c>
      <c r="C37" s="85"/>
      <c r="D37" s="45" t="s">
        <v>35</v>
      </c>
      <c r="E37" s="13">
        <v>1</v>
      </c>
      <c r="F37" s="13">
        <v>1</v>
      </c>
      <c r="G37" s="13">
        <v>100</v>
      </c>
      <c r="H37" s="45"/>
      <c r="I37" s="68"/>
      <c r="J37" s="66"/>
      <c r="K37" s="130"/>
      <c r="L37" s="19"/>
      <c r="M37" s="22"/>
      <c r="N37" s="22"/>
      <c r="O37" s="22"/>
      <c r="P37" s="22"/>
      <c r="Q37" s="30"/>
      <c r="R37" s="30"/>
      <c r="S37" s="30"/>
      <c r="T37" s="30"/>
      <c r="U37" s="30"/>
      <c r="V37" s="30"/>
      <c r="W37" s="30"/>
      <c r="X37" s="30"/>
      <c r="Y37" s="30"/>
    </row>
    <row r="38" spans="1:25" x14ac:dyDescent="0.25">
      <c r="A38" s="147" t="s">
        <v>19</v>
      </c>
      <c r="B38" s="148"/>
      <c r="C38" s="148"/>
      <c r="D38" s="148"/>
      <c r="E38" s="148"/>
      <c r="F38" s="149"/>
      <c r="G38" s="72">
        <f>AVERAGE(G14:G21)</f>
        <v>100</v>
      </c>
      <c r="H38" s="72">
        <f>AVERAGE(H14:H21)</f>
        <v>100</v>
      </c>
      <c r="I38" s="70"/>
      <c r="J38" s="139"/>
      <c r="K38" s="130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5" ht="15.75" thickBot="1" x14ac:dyDescent="0.3">
      <c r="A39" s="147" t="s">
        <v>20</v>
      </c>
      <c r="B39" s="148"/>
      <c r="C39" s="148"/>
      <c r="D39" s="148"/>
      <c r="E39" s="148"/>
      <c r="F39" s="149"/>
      <c r="G39" s="132">
        <f>AVERAGE(G38:H38)</f>
        <v>100</v>
      </c>
      <c r="H39" s="132"/>
      <c r="I39" s="152">
        <f>J22</f>
        <v>0.44000000000000006</v>
      </c>
      <c r="J39" s="140"/>
      <c r="K39" s="131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5" x14ac:dyDescent="0.25"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5" x14ac:dyDescent="0.25">
      <c r="B41" s="122" t="s">
        <v>15</v>
      </c>
      <c r="C41" s="1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5" x14ac:dyDescent="0.25">
      <c r="B42" s="123" t="s">
        <v>119</v>
      </c>
      <c r="C42" s="123"/>
    </row>
    <row r="44" spans="1:25" x14ac:dyDescent="0.25">
      <c r="A44" s="4"/>
      <c r="B44" s="94" t="s">
        <v>16</v>
      </c>
      <c r="C44" s="94"/>
      <c r="D44" s="4"/>
      <c r="E44" s="94" t="s">
        <v>17</v>
      </c>
      <c r="F44" s="94"/>
      <c r="G44" s="94"/>
    </row>
    <row r="45" spans="1:25" x14ac:dyDescent="0.25">
      <c r="A45" s="4"/>
      <c r="B45" s="94" t="s">
        <v>39</v>
      </c>
      <c r="C45" s="94"/>
      <c r="D45" s="4"/>
      <c r="E45" s="33" t="s">
        <v>40</v>
      </c>
      <c r="F45" s="4"/>
      <c r="G45" s="4"/>
    </row>
    <row r="46" spans="1:25" x14ac:dyDescent="0.25">
      <c r="A46" s="4"/>
      <c r="B46" s="4"/>
      <c r="C46" s="5"/>
      <c r="D46" s="4"/>
      <c r="E46" s="4"/>
      <c r="F46" s="4"/>
      <c r="G46" s="4"/>
    </row>
    <row r="47" spans="1:25" x14ac:dyDescent="0.25">
      <c r="A47" s="4"/>
      <c r="B47" s="4"/>
      <c r="D47" s="4"/>
      <c r="E47" s="4"/>
      <c r="G47" s="4"/>
    </row>
    <row r="48" spans="1:25" x14ac:dyDescent="0.25">
      <c r="A48" s="4"/>
      <c r="B48" s="95" t="s">
        <v>36</v>
      </c>
      <c r="C48" s="95"/>
      <c r="D48" s="4"/>
      <c r="E48" s="92" t="s">
        <v>43</v>
      </c>
      <c r="F48" s="92"/>
      <c r="G48" s="92"/>
    </row>
    <row r="49" spans="1:7" x14ac:dyDescent="0.25">
      <c r="A49" s="4"/>
      <c r="B49" s="96" t="s">
        <v>66</v>
      </c>
      <c r="C49" s="96"/>
      <c r="D49" s="4"/>
      <c r="E49" s="93" t="s">
        <v>38</v>
      </c>
      <c r="F49" s="93"/>
      <c r="G49" s="93"/>
    </row>
  </sheetData>
  <mergeCells count="60">
    <mergeCell ref="B36:C36"/>
    <mergeCell ref="B34:C34"/>
    <mergeCell ref="K22:K39"/>
    <mergeCell ref="A5:B5"/>
    <mergeCell ref="A6:B6"/>
    <mergeCell ref="A7:B7"/>
    <mergeCell ref="A8:B8"/>
    <mergeCell ref="A38:F38"/>
    <mergeCell ref="A39:F39"/>
    <mergeCell ref="G39:H39"/>
    <mergeCell ref="B12:C12"/>
    <mergeCell ref="K10:K11"/>
    <mergeCell ref="I10:I11"/>
    <mergeCell ref="J10:J11"/>
    <mergeCell ref="J38:J39"/>
    <mergeCell ref="B14:C14"/>
    <mergeCell ref="B20:C20"/>
    <mergeCell ref="H2:I2"/>
    <mergeCell ref="A10:A11"/>
    <mergeCell ref="B10:C11"/>
    <mergeCell ref="D10:D11"/>
    <mergeCell ref="E10:G10"/>
    <mergeCell ref="H10:H11"/>
    <mergeCell ref="A4:K4"/>
    <mergeCell ref="D5:K9"/>
    <mergeCell ref="A9:C9"/>
    <mergeCell ref="A3:K3"/>
    <mergeCell ref="A2:G2"/>
    <mergeCell ref="J2:K2"/>
    <mergeCell ref="A13:D13"/>
    <mergeCell ref="A22:D22"/>
    <mergeCell ref="E22:H22"/>
    <mergeCell ref="E48:G48"/>
    <mergeCell ref="E49:G49"/>
    <mergeCell ref="B41:C41"/>
    <mergeCell ref="B42:C42"/>
    <mergeCell ref="B49:C49"/>
    <mergeCell ref="B48:C48"/>
    <mergeCell ref="B44:C44"/>
    <mergeCell ref="B45:C45"/>
    <mergeCell ref="E44:G44"/>
    <mergeCell ref="B16:C16"/>
    <mergeCell ref="B15:C15"/>
    <mergeCell ref="B37:C37"/>
    <mergeCell ref="B23:C23"/>
    <mergeCell ref="B35:C35"/>
    <mergeCell ref="B31:C31"/>
    <mergeCell ref="B32:C32"/>
    <mergeCell ref="B33:C33"/>
    <mergeCell ref="B21:C21"/>
    <mergeCell ref="B26:C26"/>
    <mergeCell ref="B27:C27"/>
    <mergeCell ref="B28:C28"/>
    <mergeCell ref="B29:C29"/>
    <mergeCell ref="B30:C30"/>
    <mergeCell ref="B25:C25"/>
    <mergeCell ref="B17:C17"/>
    <mergeCell ref="B18:C18"/>
    <mergeCell ref="B24:C24"/>
    <mergeCell ref="B19:C19"/>
  </mergeCells>
  <pageMargins left="0.7" right="0.22" top="0.32" bottom="0.24" header="0.2" footer="0.22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2016-12-05T06:50:46Z</cp:lastPrinted>
  <dcterms:created xsi:type="dcterms:W3CDTF">2014-11-23T23:48:32Z</dcterms:created>
  <dcterms:modified xsi:type="dcterms:W3CDTF">2017-01-04T06:17:53Z</dcterms:modified>
</cp:coreProperties>
</file>