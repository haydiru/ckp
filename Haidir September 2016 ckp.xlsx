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155" activeTab="2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Okt14'!$A$2:$K$31</definedName>
    <definedName name="_xlnm.Print_Area" localSheetId="0">'CKP-T Okt14'!$A$2:$I$27</definedName>
    <definedName name="_xlnm.Print_Area" localSheetId="1">'LP Okt14'!$A$1:$H$92</definedName>
  </definedNames>
  <calcPr calcId="145621"/>
</workbook>
</file>

<file path=xl/calcChain.xml><?xml version="1.0" encoding="utf-8"?>
<calcChain xmlns="http://schemas.openxmlformats.org/spreadsheetml/2006/main">
  <c r="G55" i="3" l="1"/>
  <c r="G76" i="3"/>
  <c r="J18" i="2"/>
  <c r="G20" i="3"/>
  <c r="G80" i="3" l="1"/>
  <c r="G79" i="3"/>
  <c r="G78" i="3"/>
  <c r="G77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3" i="3"/>
  <c r="G52" i="3"/>
  <c r="G51" i="3"/>
  <c r="G33" i="3"/>
  <c r="G32" i="3"/>
  <c r="G26" i="3"/>
  <c r="G27" i="3"/>
  <c r="G28" i="3"/>
  <c r="G29" i="3"/>
  <c r="G30" i="3"/>
  <c r="G31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4" i="3"/>
  <c r="G25" i="3" l="1"/>
  <c r="G22" i="3"/>
  <c r="G23" i="3"/>
  <c r="G24" i="3"/>
  <c r="G21" i="3"/>
  <c r="G19" i="3"/>
  <c r="G18" i="3"/>
  <c r="G17" i="3"/>
  <c r="G13" i="3"/>
  <c r="G16" i="3" l="1"/>
  <c r="G15" i="3"/>
  <c r="G14" i="3"/>
  <c r="G12" i="3"/>
  <c r="G11" i="3"/>
  <c r="H19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19" i="2"/>
  <c r="G20" i="2" s="1"/>
</calcChain>
</file>

<file path=xl/sharedStrings.xml><?xml version="1.0" encoding="utf-8"?>
<sst xmlns="http://schemas.openxmlformats.org/spreadsheetml/2006/main" count="271" uniqueCount="100">
  <si>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</si>
  <si>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</si>
  <si>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</si>
  <si>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</si>
  <si>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</si>
  <si>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</si>
  <si>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</si>
  <si>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</si>
  <si>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</si>
  <si>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</si>
  <si>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</si>
  <si>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</si>
  <si>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</si>
  <si>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</si>
  <si>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</si>
  <si>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</si>
  <si>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</si>
  <si>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</si>
  <si>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</si>
  <si>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</si>
  <si>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</si>
  <si>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</si>
  <si>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</si>
  <si>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</si>
  <si>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</si>
  <si>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</si>
  <si>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</si>
  <si>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</si>
  <si>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</si>
  <si>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</si>
  <si>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</si>
  <si>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</si>
  <si>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</si>
  <si>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</si>
  <si>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</si>
  <si>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</si>
  <si>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</si>
  <si>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</si>
  <si>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</si>
  <si>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</si>
  <si>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</si>
  <si>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</si>
  <si>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</si>
  <si>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</si>
  <si>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</si>
  <si>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</si>
  <si>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</si>
  <si>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</si>
  <si>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TARGET KINERJA PEGAWAI TAHUN 2016</t>
  </si>
  <si>
    <t>CAPAIAN KINERJA PEGAWAI TAHUN 2016</t>
  </si>
  <si>
    <t>Melayani permintaan data</t>
  </si>
  <si>
    <t>Tanggal:</t>
  </si>
  <si>
    <t>Kesepakatan Kinerja</t>
  </si>
  <si>
    <t>Rabu</t>
  </si>
  <si>
    <t>Kamis</t>
  </si>
  <si>
    <t>: Agustus 2016</t>
  </si>
  <si>
    <t>Tanggal: 1 September 2016</t>
  </si>
  <si>
    <t>Tanggal: 8 September 2016</t>
  </si>
  <si>
    <t>Pelayanan Pengunjung PST</t>
  </si>
  <si>
    <t>tabel</t>
  </si>
  <si>
    <t>memperbaiki PC Kasi</t>
  </si>
  <si>
    <t>jum'at</t>
  </si>
  <si>
    <t>Memperbaiki PC Kepala BPS Bontang</t>
  </si>
  <si>
    <t>Bersih-bersih kantor</t>
  </si>
  <si>
    <t xml:space="preserve">Membuat file daftar Pegawai dan naik pangkat </t>
  </si>
  <si>
    <t>entri sakernas</t>
  </si>
  <si>
    <t>update kenaikan pangkat dan gaji</t>
  </si>
  <si>
    <t>unit-update</t>
  </si>
  <si>
    <r>
      <t xml:space="preserve">upload tabel dinamis ke </t>
    </r>
    <r>
      <rPr>
        <i/>
        <sz val="11"/>
        <color theme="1"/>
        <rFont val="Calibri"/>
        <family val="2"/>
        <scheme val="minor"/>
      </rPr>
      <t>website</t>
    </r>
  </si>
  <si>
    <t>: September 2016</t>
  </si>
  <si>
    <t>Membuat daftar Gai</t>
  </si>
  <si>
    <t>Membuat Kekurangan gaji</t>
  </si>
  <si>
    <t>Membuat uang makan</t>
  </si>
  <si>
    <t>Membuat SPM</t>
  </si>
  <si>
    <t>Membuat SK Rutin</t>
  </si>
  <si>
    <t>Dokumen</t>
  </si>
  <si>
    <t>Mengumpulkan CKP, LP Pegawai</t>
  </si>
  <si>
    <t>Print surat Penawaran</t>
  </si>
  <si>
    <t>Membuat Aplikasi Angka Random Ubinan</t>
  </si>
  <si>
    <t>Upload data Sireka</t>
  </si>
  <si>
    <t>Jumat</t>
  </si>
  <si>
    <t>Membuat Series data Ekspor Impor</t>
  </si>
  <si>
    <t>Tabel</t>
  </si>
  <si>
    <t>melayani permintaan data</t>
  </si>
  <si>
    <t>Memperbaiki Jaringan</t>
  </si>
  <si>
    <t>Memperbaiki printer</t>
  </si>
  <si>
    <t>Membuat Program Angka Random Ubinan</t>
  </si>
  <si>
    <t>Konsultasi Penyusunan Data Pembangunan Kota Bontang Tahun 2016</t>
  </si>
  <si>
    <t>Mengelola Website BPS Kota Bontang</t>
  </si>
  <si>
    <t>: Oktober 2016</t>
  </si>
  <si>
    <t>18 September 2016</t>
  </si>
  <si>
    <t>Entri Konfirmasi Pajak</t>
  </si>
  <si>
    <t>file</t>
  </si>
  <si>
    <t>Memperbaiki komputer</t>
  </si>
  <si>
    <t>Upload infoGrafis di Website</t>
  </si>
  <si>
    <t>Perawatan Jaringan</t>
  </si>
  <si>
    <r>
      <t xml:space="preserve">Upload Tabel statis di </t>
    </r>
    <r>
      <rPr>
        <i/>
        <sz val="11"/>
        <color theme="1"/>
        <rFont val="Calibri"/>
        <family val="2"/>
        <scheme val="minor"/>
      </rPr>
      <t>Website</t>
    </r>
  </si>
  <si>
    <t>Merekap Kuitansi &amp; Surat Tugas perjalanan dinas Taskforce, Korlap, Penyisiran SE 2016</t>
  </si>
  <si>
    <t>DL Konsultasi Penyusunan Data Pembangunan Kota Bontang Tahun 2016</t>
  </si>
  <si>
    <t>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</si>
</sst>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33">
    <xf numFmtId="0" fontId="0" fillId="0" borderId="0" xfId="0"/>
    <xf numFmtId="0" fontId="4" fillId="0" borderId="0" xfId="0" applyFont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8" xfId="0" applyFont="1" applyFill="1" applyBorder="1" applyAlignment="1">
      <alignment vertical="center" wrapText="1"/>
    </xf>
    <xf numFmtId="164" fontId="0" fillId="0" borderId="8" xfId="0" applyNumberFormat="1" applyFont="1" applyBorder="1" applyAlignment="1">
      <alignment horizontal="center" vertical="center"/>
    </xf>
    <xf numFmtId="9" fontId="6" fillId="0" borderId="8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8" xfId="0" applyBorder="1"/>
    <xf numFmtId="0" fontId="0" fillId="0" borderId="8" xfId="0" applyFont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/>
    <xf numFmtId="0" fontId="0" fillId="0" borderId="0" xfId="0" applyBorder="1" applyAlignment="1"/>
    <xf numFmtId="164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6" xfId="0" applyBorder="1"/>
    <xf numFmtId="43" fontId="0" fillId="0" borderId="8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164" fontId="6" fillId="0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20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2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8" xfId="0" applyNumberFormat="1" applyFon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164" fontId="0" fillId="0" borderId="8" xfId="0" applyNumberForma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4" fontId="6" fillId="0" borderId="7" xfId="0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view="pageBreakPreview" topLeftCell="A4" zoomScaleNormal="100" zoomScaleSheetLayoutView="100" workbookViewId="0">
      <selection activeCell="C18" sqref="C18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78" t="s">
        <v>0</v>
      </c>
      <c r="I2" s="79"/>
    </row>
    <row r="3" spans="1:9" ht="18.75" x14ac:dyDescent="0.3">
      <c r="A3" s="80" t="s">
        <v>48</v>
      </c>
      <c r="B3" s="80"/>
      <c r="C3" s="80"/>
      <c r="D3" s="80"/>
      <c r="E3" s="80"/>
      <c r="F3" s="80"/>
      <c r="G3" s="80"/>
      <c r="H3" s="80"/>
      <c r="I3" s="80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10" t="s">
        <v>33</v>
      </c>
    </row>
    <row r="7" spans="1:9" x14ac:dyDescent="0.25">
      <c r="A7" t="s">
        <v>4</v>
      </c>
      <c r="C7" s="10" t="s">
        <v>34</v>
      </c>
    </row>
    <row r="8" spans="1:9" x14ac:dyDescent="0.25">
      <c r="A8" t="s">
        <v>5</v>
      </c>
      <c r="C8" t="s">
        <v>89</v>
      </c>
    </row>
    <row r="9" spans="1:9" x14ac:dyDescent="0.25">
      <c r="A9" s="81" t="s">
        <v>6</v>
      </c>
      <c r="B9" s="81" t="s">
        <v>7</v>
      </c>
      <c r="C9" s="81"/>
      <c r="D9" s="81" t="s">
        <v>8</v>
      </c>
      <c r="E9" s="81" t="s">
        <v>9</v>
      </c>
      <c r="F9" s="81"/>
      <c r="G9" s="81"/>
      <c r="H9" s="82" t="s">
        <v>10</v>
      </c>
      <c r="I9" s="81" t="s">
        <v>11</v>
      </c>
    </row>
    <row r="10" spans="1:9" x14ac:dyDescent="0.25">
      <c r="A10" s="81"/>
      <c r="B10" s="81"/>
      <c r="C10" s="81"/>
      <c r="D10" s="81"/>
      <c r="E10" s="50" t="s">
        <v>12</v>
      </c>
      <c r="F10" s="50" t="s">
        <v>13</v>
      </c>
      <c r="G10" s="50" t="s">
        <v>14</v>
      </c>
      <c r="H10" s="82"/>
      <c r="I10" s="81"/>
    </row>
    <row r="11" spans="1:9" x14ac:dyDescent="0.25">
      <c r="A11" s="49">
        <v>-1</v>
      </c>
      <c r="B11" s="84">
        <f>A11-1</f>
        <v>-2</v>
      </c>
      <c r="C11" s="84"/>
      <c r="D11" s="49">
        <f>B11-1</f>
        <v>-3</v>
      </c>
      <c r="E11" s="56">
        <f>D11-1</f>
        <v>-4</v>
      </c>
      <c r="F11" s="56">
        <f>E11-1</f>
        <v>-5</v>
      </c>
      <c r="G11" s="56">
        <f>F11-1</f>
        <v>-6</v>
      </c>
      <c r="H11" s="56">
        <f>G11-1</f>
        <v>-7</v>
      </c>
      <c r="I11" s="56">
        <f>H11-1</f>
        <v>-8</v>
      </c>
    </row>
    <row r="12" spans="1:9" x14ac:dyDescent="0.25">
      <c r="A12" s="65">
        <v>1</v>
      </c>
      <c r="B12" s="83" t="s">
        <v>50</v>
      </c>
      <c r="C12" s="83"/>
      <c r="D12" s="55" t="s">
        <v>35</v>
      </c>
      <c r="E12" s="65">
        <v>2</v>
      </c>
      <c r="F12" s="66"/>
      <c r="G12" s="66"/>
      <c r="H12" s="66"/>
      <c r="I12" s="66"/>
    </row>
    <row r="13" spans="1:9" x14ac:dyDescent="0.25">
      <c r="A13" s="65">
        <v>2</v>
      </c>
      <c r="B13" s="83" t="s">
        <v>96</v>
      </c>
      <c r="C13" s="83"/>
      <c r="D13" s="55" t="s">
        <v>59</v>
      </c>
      <c r="E13" s="65">
        <v>5</v>
      </c>
      <c r="F13" s="66"/>
      <c r="G13" s="66"/>
      <c r="H13" s="66"/>
      <c r="I13" s="66"/>
    </row>
    <row r="14" spans="1:9" x14ac:dyDescent="0.25">
      <c r="A14" s="65">
        <v>4</v>
      </c>
      <c r="B14" s="83" t="s">
        <v>94</v>
      </c>
      <c r="C14" s="83"/>
      <c r="D14" s="55" t="s">
        <v>67</v>
      </c>
      <c r="E14" s="69">
        <v>3</v>
      </c>
      <c r="F14" s="66"/>
      <c r="G14" s="66"/>
      <c r="H14" s="66"/>
      <c r="I14" s="66"/>
    </row>
    <row r="15" spans="1:9" ht="15" customHeight="1" x14ac:dyDescent="0.25">
      <c r="A15" s="65">
        <v>5</v>
      </c>
      <c r="B15" s="83" t="s">
        <v>68</v>
      </c>
      <c r="C15" s="83"/>
      <c r="D15" s="55" t="s">
        <v>59</v>
      </c>
      <c r="E15" s="65">
        <v>5</v>
      </c>
      <c r="F15" s="65"/>
      <c r="G15" s="55"/>
      <c r="H15" s="55"/>
      <c r="I15" s="67"/>
    </row>
    <row r="16" spans="1:9" ht="15" customHeight="1" x14ac:dyDescent="0.25">
      <c r="A16" s="65">
        <v>6</v>
      </c>
      <c r="B16" s="83" t="s">
        <v>95</v>
      </c>
      <c r="C16" s="83"/>
      <c r="D16" s="55" t="s">
        <v>35</v>
      </c>
      <c r="E16" s="65">
        <v>1</v>
      </c>
      <c r="F16" s="65"/>
      <c r="G16" s="55"/>
      <c r="H16" s="55"/>
      <c r="I16" s="67"/>
    </row>
    <row r="17" spans="1:9" ht="15" customHeight="1" x14ac:dyDescent="0.25">
      <c r="A17" s="51"/>
      <c r="B17" s="52"/>
      <c r="C17" s="52"/>
      <c r="D17" s="53"/>
      <c r="E17" s="51"/>
      <c r="F17" s="51"/>
      <c r="G17" s="53"/>
      <c r="H17" s="54"/>
      <c r="I17" s="38"/>
    </row>
    <row r="18" spans="1:9" ht="15" customHeight="1" x14ac:dyDescent="0.25">
      <c r="B18" s="5" t="s">
        <v>52</v>
      </c>
    </row>
    <row r="19" spans="1:9" ht="15" customHeight="1" x14ac:dyDescent="0.25">
      <c r="B19" t="s">
        <v>51</v>
      </c>
      <c r="C19" s="48" t="s">
        <v>90</v>
      </c>
    </row>
    <row r="21" spans="1:9" ht="15" customHeight="1" x14ac:dyDescent="0.25">
      <c r="A21" s="6"/>
      <c r="B21" s="75" t="s">
        <v>16</v>
      </c>
      <c r="C21" s="75"/>
      <c r="D21" s="6"/>
      <c r="F21" s="75" t="s">
        <v>17</v>
      </c>
      <c r="G21" s="75"/>
      <c r="H21" s="75"/>
    </row>
    <row r="22" spans="1:9" ht="15" customHeight="1" x14ac:dyDescent="0.25">
      <c r="A22" s="6"/>
      <c r="B22" s="75" t="s">
        <v>39</v>
      </c>
      <c r="C22" s="75"/>
      <c r="D22" s="75" t="s">
        <v>40</v>
      </c>
      <c r="E22" s="75"/>
      <c r="F22" s="75"/>
      <c r="G22" s="75"/>
      <c r="H22" s="75"/>
      <c r="I22" s="75"/>
    </row>
    <row r="23" spans="1:9" x14ac:dyDescent="0.25">
      <c r="A23" s="6"/>
      <c r="B23" s="15"/>
      <c r="C23" s="15"/>
      <c r="D23" s="6"/>
      <c r="E23" s="6"/>
      <c r="F23" s="9"/>
      <c r="G23" s="8"/>
      <c r="H23" s="14"/>
    </row>
    <row r="24" spans="1:9" x14ac:dyDescent="0.25">
      <c r="A24" s="6"/>
      <c r="B24" s="6"/>
      <c r="C24" s="7"/>
      <c r="D24" s="6"/>
      <c r="E24" s="6"/>
      <c r="F24" s="9"/>
      <c r="G24" s="8"/>
      <c r="H24" s="14"/>
    </row>
    <row r="25" spans="1:9" x14ac:dyDescent="0.25">
      <c r="A25" s="6"/>
      <c r="B25" s="6"/>
      <c r="D25" s="6"/>
      <c r="E25" s="6"/>
      <c r="F25" s="9"/>
      <c r="G25" s="8"/>
      <c r="H25" s="14"/>
    </row>
    <row r="26" spans="1:9" x14ac:dyDescent="0.25">
      <c r="A26" s="6"/>
      <c r="B26" s="76" t="s">
        <v>36</v>
      </c>
      <c r="C26" s="76"/>
      <c r="D26" s="6"/>
      <c r="E26" s="6"/>
      <c r="F26" s="73" t="s">
        <v>43</v>
      </c>
      <c r="G26" s="73"/>
      <c r="H26" s="73"/>
    </row>
    <row r="27" spans="1:9" ht="15" customHeight="1" x14ac:dyDescent="0.25">
      <c r="A27" s="6"/>
      <c r="B27" s="77" t="s">
        <v>37</v>
      </c>
      <c r="C27" s="77"/>
      <c r="D27" s="6"/>
      <c r="E27" s="6"/>
      <c r="F27" s="74" t="s">
        <v>38</v>
      </c>
      <c r="G27" s="74"/>
      <c r="H27" s="74"/>
    </row>
  </sheetData>
  <mergeCells count="22">
    <mergeCell ref="B16:C16"/>
    <mergeCell ref="B11:C11"/>
    <mergeCell ref="B15:C15"/>
    <mergeCell ref="B12:C12"/>
    <mergeCell ref="B13:C13"/>
    <mergeCell ref="B14:C14"/>
    <mergeCell ref="H2:I2"/>
    <mergeCell ref="A3:I3"/>
    <mergeCell ref="A9:A10"/>
    <mergeCell ref="B9:C10"/>
    <mergeCell ref="D9:D10"/>
    <mergeCell ref="E9:G9"/>
    <mergeCell ref="H9:H10"/>
    <mergeCell ref="I9:I10"/>
    <mergeCell ref="F26:H26"/>
    <mergeCell ref="F27:H27"/>
    <mergeCell ref="B21:C21"/>
    <mergeCell ref="B22:C22"/>
    <mergeCell ref="B26:C26"/>
    <mergeCell ref="B27:C27"/>
    <mergeCell ref="D22:I22"/>
    <mergeCell ref="F21:H21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view="pageBreakPreview" topLeftCell="A37" zoomScale="80" zoomScaleNormal="100" zoomScaleSheetLayoutView="80" workbookViewId="0">
      <selection activeCell="E57" sqref="E57"/>
    </sheetView>
  </sheetViews>
  <sheetFormatPr defaultRowHeight="15" x14ac:dyDescent="0.25"/>
  <cols>
    <col min="1" max="1" width="7.85546875" bestFit="1" customWidth="1"/>
    <col min="2" max="2" width="11.85546875" customWidth="1"/>
    <col min="3" max="3" width="49.28515625" bestFit="1" customWidth="1"/>
    <col min="4" max="6" width="13" customWidth="1"/>
    <col min="7" max="7" width="8.140625" customWidth="1"/>
    <col min="8" max="8" width="7.42578125" customWidth="1"/>
  </cols>
  <sheetData>
    <row r="1" spans="1:8" ht="15.75" x14ac:dyDescent="0.25">
      <c r="A1" s="41"/>
      <c r="B1" s="99" t="s">
        <v>21</v>
      </c>
      <c r="C1" s="99"/>
      <c r="D1" s="99"/>
      <c r="E1" s="99"/>
      <c r="F1" s="99"/>
      <c r="G1" s="99"/>
      <c r="H1" s="99"/>
    </row>
    <row r="2" spans="1:8" x14ac:dyDescent="0.25">
      <c r="A2" s="102"/>
      <c r="B2" s="102"/>
      <c r="C2" s="102"/>
      <c r="D2" s="102"/>
      <c r="E2" s="102"/>
      <c r="F2" s="102"/>
      <c r="G2" s="102"/>
      <c r="H2" s="102"/>
    </row>
    <row r="3" spans="1:8" x14ac:dyDescent="0.25">
      <c r="A3" s="102"/>
      <c r="B3" s="10" t="s">
        <v>22</v>
      </c>
      <c r="C3" t="s">
        <v>2</v>
      </c>
      <c r="D3" s="103"/>
      <c r="E3" s="103"/>
      <c r="F3" s="103"/>
      <c r="G3" s="103"/>
      <c r="H3" s="103"/>
    </row>
    <row r="4" spans="1:8" x14ac:dyDescent="0.25">
      <c r="A4" s="102"/>
      <c r="B4" s="10" t="s">
        <v>3</v>
      </c>
      <c r="C4" s="10" t="s">
        <v>33</v>
      </c>
      <c r="D4" s="103"/>
      <c r="E4" s="103"/>
      <c r="F4" s="103"/>
      <c r="G4" s="103"/>
      <c r="H4" s="103"/>
    </row>
    <row r="5" spans="1:8" ht="15" customHeight="1" x14ac:dyDescent="0.25">
      <c r="A5" s="102"/>
      <c r="B5" s="10" t="s">
        <v>23</v>
      </c>
      <c r="C5" s="10" t="s">
        <v>34</v>
      </c>
      <c r="D5" s="103"/>
      <c r="E5" s="103"/>
      <c r="F5" s="103"/>
      <c r="G5" s="103"/>
      <c r="H5" s="103"/>
    </row>
    <row r="6" spans="1:8" x14ac:dyDescent="0.25">
      <c r="A6" s="102"/>
      <c r="B6" s="10" t="s">
        <v>5</v>
      </c>
      <c r="C6" s="11" t="s">
        <v>69</v>
      </c>
      <c r="D6" s="103"/>
      <c r="E6" s="103"/>
      <c r="F6" s="103"/>
      <c r="G6" s="103"/>
      <c r="H6" s="103"/>
    </row>
    <row r="7" spans="1:8" x14ac:dyDescent="0.25">
      <c r="A7" s="105"/>
      <c r="B7" s="104"/>
      <c r="C7" s="104"/>
      <c r="D7" s="104"/>
      <c r="E7" s="104"/>
      <c r="F7" s="104"/>
      <c r="G7" s="104"/>
      <c r="H7" s="104"/>
    </row>
    <row r="8" spans="1:8" x14ac:dyDescent="0.25">
      <c r="A8" s="91" t="s">
        <v>24</v>
      </c>
      <c r="B8" s="92"/>
      <c r="C8" s="97" t="s">
        <v>25</v>
      </c>
      <c r="D8" s="82" t="s">
        <v>26</v>
      </c>
      <c r="E8" s="82" t="s">
        <v>27</v>
      </c>
      <c r="F8" s="100" t="s">
        <v>13</v>
      </c>
      <c r="G8" s="100"/>
      <c r="H8" s="101" t="s">
        <v>11</v>
      </c>
    </row>
    <row r="9" spans="1:8" x14ac:dyDescent="0.25">
      <c r="A9" s="93"/>
      <c r="B9" s="94"/>
      <c r="C9" s="98"/>
      <c r="D9" s="82"/>
      <c r="E9" s="82"/>
      <c r="F9" s="12" t="s">
        <v>28</v>
      </c>
      <c r="G9" s="13" t="s">
        <v>14</v>
      </c>
      <c r="H9" s="101"/>
    </row>
    <row r="10" spans="1:8" x14ac:dyDescent="0.25">
      <c r="A10" s="95">
        <v>-1</v>
      </c>
      <c r="B10" s="96"/>
      <c r="C10" s="17">
        <v>-2</v>
      </c>
      <c r="D10" s="17">
        <v>-3</v>
      </c>
      <c r="E10" s="17">
        <v>-4</v>
      </c>
      <c r="F10" s="17">
        <v>-5</v>
      </c>
      <c r="G10" s="17">
        <v>-6</v>
      </c>
      <c r="H10" s="17">
        <v>-7</v>
      </c>
    </row>
    <row r="11" spans="1:8" x14ac:dyDescent="0.25">
      <c r="A11" s="85" t="s">
        <v>54</v>
      </c>
      <c r="B11" s="87">
        <v>42614</v>
      </c>
      <c r="C11" s="16" t="s">
        <v>44</v>
      </c>
      <c r="D11" s="62" t="s">
        <v>29</v>
      </c>
      <c r="E11" s="40">
        <v>1</v>
      </c>
      <c r="F11" s="40">
        <v>1</v>
      </c>
      <c r="G11" s="18">
        <f>F11/E11</f>
        <v>1</v>
      </c>
      <c r="H11" s="28"/>
    </row>
    <row r="12" spans="1:8" x14ac:dyDescent="0.25">
      <c r="A12" s="86"/>
      <c r="B12" s="88"/>
      <c r="C12" s="16" t="s">
        <v>32</v>
      </c>
      <c r="D12" s="62" t="s">
        <v>29</v>
      </c>
      <c r="E12" s="40">
        <v>1</v>
      </c>
      <c r="F12" s="40">
        <v>1</v>
      </c>
      <c r="G12" s="18">
        <f t="shared" ref="G12:G14" si="0">F12/E12</f>
        <v>1</v>
      </c>
      <c r="H12" s="28"/>
    </row>
    <row r="13" spans="1:8" x14ac:dyDescent="0.25">
      <c r="A13" s="86"/>
      <c r="B13" s="88"/>
      <c r="C13" s="16" t="s">
        <v>76</v>
      </c>
      <c r="D13" s="62" t="s">
        <v>29</v>
      </c>
      <c r="E13" s="40">
        <v>1</v>
      </c>
      <c r="F13" s="40">
        <v>1</v>
      </c>
      <c r="G13" s="18">
        <f t="shared" ref="G13" si="1">F13/E13</f>
        <v>1</v>
      </c>
      <c r="H13" s="28"/>
    </row>
    <row r="14" spans="1:8" x14ac:dyDescent="0.25">
      <c r="A14" s="85" t="s">
        <v>61</v>
      </c>
      <c r="B14" s="87">
        <v>42615</v>
      </c>
      <c r="C14" s="16" t="s">
        <v>44</v>
      </c>
      <c r="D14" s="62" t="s">
        <v>29</v>
      </c>
      <c r="E14" s="40">
        <v>1</v>
      </c>
      <c r="F14" s="40">
        <v>1</v>
      </c>
      <c r="G14" s="18">
        <f t="shared" si="0"/>
        <v>1</v>
      </c>
      <c r="H14" s="28"/>
    </row>
    <row r="15" spans="1:8" x14ac:dyDescent="0.25">
      <c r="A15" s="86"/>
      <c r="B15" s="88"/>
      <c r="C15" s="16" t="s">
        <v>32</v>
      </c>
      <c r="D15" s="62" t="s">
        <v>29</v>
      </c>
      <c r="E15" s="40">
        <v>1</v>
      </c>
      <c r="F15" s="40">
        <v>1</v>
      </c>
      <c r="G15" s="18">
        <f t="shared" ref="G15:G21" si="2">F15/E15</f>
        <v>1</v>
      </c>
      <c r="H15" s="28"/>
    </row>
    <row r="16" spans="1:8" x14ac:dyDescent="0.25">
      <c r="A16" s="86"/>
      <c r="B16" s="88"/>
      <c r="C16" s="16" t="s">
        <v>60</v>
      </c>
      <c r="D16" s="62" t="s">
        <v>29</v>
      </c>
      <c r="E16" s="40">
        <v>1</v>
      </c>
      <c r="F16" s="40">
        <v>1</v>
      </c>
      <c r="G16" s="18">
        <f t="shared" si="2"/>
        <v>1</v>
      </c>
      <c r="H16" s="28"/>
    </row>
    <row r="17" spans="1:8" x14ac:dyDescent="0.25">
      <c r="A17" s="85" t="s">
        <v>46</v>
      </c>
      <c r="B17" s="87">
        <v>42618</v>
      </c>
      <c r="C17" s="16" t="s">
        <v>44</v>
      </c>
      <c r="D17" s="62" t="s">
        <v>29</v>
      </c>
      <c r="E17" s="40">
        <v>1</v>
      </c>
      <c r="F17" s="40">
        <v>1</v>
      </c>
      <c r="G17" s="18">
        <f t="shared" si="2"/>
        <v>1</v>
      </c>
      <c r="H17" s="27"/>
    </row>
    <row r="18" spans="1:8" x14ac:dyDescent="0.25">
      <c r="A18" s="86"/>
      <c r="B18" s="88"/>
      <c r="C18" s="16" t="s">
        <v>32</v>
      </c>
      <c r="D18" s="62" t="s">
        <v>29</v>
      </c>
      <c r="E18" s="40">
        <v>1</v>
      </c>
      <c r="F18" s="40">
        <v>1</v>
      </c>
      <c r="G18" s="18">
        <f t="shared" si="2"/>
        <v>1</v>
      </c>
      <c r="H18" s="27"/>
    </row>
    <row r="19" spans="1:8" x14ac:dyDescent="0.25">
      <c r="A19" s="86"/>
      <c r="B19" s="88"/>
      <c r="C19" s="16" t="s">
        <v>62</v>
      </c>
      <c r="D19" s="62" t="s">
        <v>29</v>
      </c>
      <c r="E19" s="40">
        <v>1</v>
      </c>
      <c r="F19" s="40">
        <v>1</v>
      </c>
      <c r="G19" s="18">
        <f t="shared" si="2"/>
        <v>1</v>
      </c>
      <c r="H19" s="27"/>
    </row>
    <row r="20" spans="1:8" x14ac:dyDescent="0.25">
      <c r="A20" s="86"/>
      <c r="B20" s="88"/>
      <c r="C20" s="16" t="s">
        <v>84</v>
      </c>
      <c r="D20" s="62" t="s">
        <v>29</v>
      </c>
      <c r="E20" s="40">
        <v>1</v>
      </c>
      <c r="F20" s="40">
        <v>1</v>
      </c>
      <c r="G20" s="18">
        <f t="shared" ref="G20" si="3">F20/E20</f>
        <v>1</v>
      </c>
      <c r="H20" s="27"/>
    </row>
    <row r="21" spans="1:8" x14ac:dyDescent="0.25">
      <c r="A21" s="89"/>
      <c r="B21" s="90"/>
      <c r="C21" s="16" t="s">
        <v>58</v>
      </c>
      <c r="D21" s="62" t="s">
        <v>29</v>
      </c>
      <c r="E21" s="40">
        <v>1</v>
      </c>
      <c r="F21" s="40">
        <v>1</v>
      </c>
      <c r="G21" s="18">
        <f t="shared" si="2"/>
        <v>1</v>
      </c>
      <c r="H21" s="27"/>
    </row>
    <row r="22" spans="1:8" x14ac:dyDescent="0.25">
      <c r="A22" s="85" t="s">
        <v>47</v>
      </c>
      <c r="B22" s="87">
        <v>42619</v>
      </c>
      <c r="C22" s="16" t="s">
        <v>44</v>
      </c>
      <c r="D22" s="62" t="s">
        <v>29</v>
      </c>
      <c r="E22" s="40">
        <v>1</v>
      </c>
      <c r="F22" s="40">
        <v>1</v>
      </c>
      <c r="G22" s="18">
        <f t="shared" ref="G22:G24" si="4">F22/E22</f>
        <v>1</v>
      </c>
      <c r="H22" s="27"/>
    </row>
    <row r="23" spans="1:8" x14ac:dyDescent="0.25">
      <c r="A23" s="86"/>
      <c r="B23" s="88"/>
      <c r="C23" s="16" t="s">
        <v>32</v>
      </c>
      <c r="D23" s="62" t="s">
        <v>29</v>
      </c>
      <c r="E23" s="40">
        <v>1</v>
      </c>
      <c r="F23" s="40">
        <v>1</v>
      </c>
      <c r="G23" s="18">
        <f t="shared" si="4"/>
        <v>1</v>
      </c>
      <c r="H23" s="27"/>
    </row>
    <row r="24" spans="1:8" x14ac:dyDescent="0.25">
      <c r="A24" s="86"/>
      <c r="B24" s="88"/>
      <c r="C24" s="16" t="s">
        <v>70</v>
      </c>
      <c r="D24" s="62" t="s">
        <v>29</v>
      </c>
      <c r="E24" s="40">
        <v>1</v>
      </c>
      <c r="F24" s="40">
        <v>1</v>
      </c>
      <c r="G24" s="18">
        <f t="shared" si="4"/>
        <v>1</v>
      </c>
      <c r="H24" s="27"/>
    </row>
    <row r="25" spans="1:8" x14ac:dyDescent="0.25">
      <c r="A25" s="86"/>
      <c r="B25" s="88"/>
      <c r="C25" s="16" t="s">
        <v>71</v>
      </c>
      <c r="D25" s="62" t="s">
        <v>29</v>
      </c>
      <c r="E25" s="40">
        <v>1</v>
      </c>
      <c r="F25" s="40">
        <v>1</v>
      </c>
      <c r="G25" s="18">
        <f t="shared" ref="G25" si="5">F25/E25</f>
        <v>1</v>
      </c>
      <c r="H25" s="27"/>
    </row>
    <row r="26" spans="1:8" x14ac:dyDescent="0.25">
      <c r="A26" s="89"/>
      <c r="B26" s="90"/>
      <c r="C26" s="16" t="s">
        <v>72</v>
      </c>
      <c r="D26" s="62" t="s">
        <v>29</v>
      </c>
      <c r="E26" s="40">
        <v>1</v>
      </c>
      <c r="F26" s="40">
        <v>1</v>
      </c>
      <c r="G26" s="18">
        <f t="shared" ref="G26:G55" si="6">F26/E26</f>
        <v>1</v>
      </c>
      <c r="H26" s="27"/>
    </row>
    <row r="27" spans="1:8" x14ac:dyDescent="0.25">
      <c r="A27" s="85" t="s">
        <v>53</v>
      </c>
      <c r="B27" s="87">
        <v>42620</v>
      </c>
      <c r="C27" s="16" t="s">
        <v>44</v>
      </c>
      <c r="D27" s="62" t="s">
        <v>29</v>
      </c>
      <c r="E27" s="40">
        <v>1</v>
      </c>
      <c r="F27" s="40">
        <v>1</v>
      </c>
      <c r="G27" s="18">
        <f t="shared" si="6"/>
        <v>1</v>
      </c>
      <c r="H27" s="27"/>
    </row>
    <row r="28" spans="1:8" x14ac:dyDescent="0.25">
      <c r="A28" s="86"/>
      <c r="B28" s="88"/>
      <c r="C28" s="16" t="s">
        <v>32</v>
      </c>
      <c r="D28" s="62" t="s">
        <v>29</v>
      </c>
      <c r="E28" s="40">
        <v>1</v>
      </c>
      <c r="F28" s="40">
        <v>1</v>
      </c>
      <c r="G28" s="18">
        <f t="shared" si="6"/>
        <v>1</v>
      </c>
      <c r="H28" s="27"/>
    </row>
    <row r="29" spans="1:8" x14ac:dyDescent="0.25">
      <c r="A29" s="86"/>
      <c r="B29" s="88"/>
      <c r="C29" s="16" t="s">
        <v>73</v>
      </c>
      <c r="D29" s="62" t="s">
        <v>29</v>
      </c>
      <c r="E29" s="40">
        <v>1</v>
      </c>
      <c r="F29" s="40">
        <v>1</v>
      </c>
      <c r="G29" s="18">
        <f t="shared" si="6"/>
        <v>1</v>
      </c>
      <c r="H29" s="27"/>
    </row>
    <row r="30" spans="1:8" x14ac:dyDescent="0.25">
      <c r="A30" s="89"/>
      <c r="B30" s="90"/>
      <c r="C30" s="16" t="s">
        <v>74</v>
      </c>
      <c r="D30" s="62" t="s">
        <v>75</v>
      </c>
      <c r="E30" s="40">
        <v>20</v>
      </c>
      <c r="F30" s="40">
        <v>20</v>
      </c>
      <c r="G30" s="18">
        <f t="shared" si="6"/>
        <v>1</v>
      </c>
      <c r="H30" s="27"/>
    </row>
    <row r="31" spans="1:8" x14ac:dyDescent="0.25">
      <c r="A31" s="85" t="s">
        <v>54</v>
      </c>
      <c r="B31" s="87">
        <v>42621</v>
      </c>
      <c r="C31" s="16" t="s">
        <v>44</v>
      </c>
      <c r="D31" s="62" t="s">
        <v>29</v>
      </c>
      <c r="E31" s="40">
        <v>1</v>
      </c>
      <c r="F31" s="40">
        <v>1</v>
      </c>
      <c r="G31" s="18">
        <f t="shared" si="6"/>
        <v>1</v>
      </c>
      <c r="H31" s="27"/>
    </row>
    <row r="32" spans="1:8" x14ac:dyDescent="0.25">
      <c r="A32" s="86"/>
      <c r="B32" s="88"/>
      <c r="C32" s="16" t="s">
        <v>73</v>
      </c>
      <c r="D32" s="62" t="s">
        <v>29</v>
      </c>
      <c r="E32" s="40">
        <v>1</v>
      </c>
      <c r="F32" s="40">
        <v>1</v>
      </c>
      <c r="G32" s="18">
        <f t="shared" ref="G32:G33" si="7">F32/E32</f>
        <v>1</v>
      </c>
      <c r="H32" s="27"/>
    </row>
    <row r="33" spans="1:8" x14ac:dyDescent="0.25">
      <c r="A33" s="89"/>
      <c r="B33" s="90"/>
      <c r="C33" s="16" t="s">
        <v>74</v>
      </c>
      <c r="D33" s="62" t="s">
        <v>75</v>
      </c>
      <c r="E33" s="40">
        <v>19</v>
      </c>
      <c r="F33" s="40">
        <v>19</v>
      </c>
      <c r="G33" s="18">
        <f t="shared" si="7"/>
        <v>1</v>
      </c>
      <c r="H33" s="27"/>
    </row>
    <row r="34" spans="1:8" x14ac:dyDescent="0.25">
      <c r="A34" s="85" t="s">
        <v>45</v>
      </c>
      <c r="B34" s="87">
        <v>42622</v>
      </c>
      <c r="C34" s="16" t="s">
        <v>44</v>
      </c>
      <c r="D34" s="62" t="s">
        <v>29</v>
      </c>
      <c r="E34" s="40">
        <v>1</v>
      </c>
      <c r="F34" s="40">
        <v>1</v>
      </c>
      <c r="G34" s="18">
        <f t="shared" si="6"/>
        <v>1</v>
      </c>
      <c r="H34" s="27"/>
    </row>
    <row r="35" spans="1:8" x14ac:dyDescent="0.25">
      <c r="A35" s="86"/>
      <c r="B35" s="88"/>
      <c r="C35" s="16" t="s">
        <v>32</v>
      </c>
      <c r="D35" s="62" t="s">
        <v>29</v>
      </c>
      <c r="E35" s="40">
        <v>1</v>
      </c>
      <c r="F35" s="40">
        <v>1</v>
      </c>
      <c r="G35" s="18">
        <f t="shared" si="6"/>
        <v>1</v>
      </c>
      <c r="H35" s="27"/>
    </row>
    <row r="36" spans="1:8" x14ac:dyDescent="0.25">
      <c r="A36" s="86"/>
      <c r="B36" s="88"/>
      <c r="C36" s="16" t="s">
        <v>63</v>
      </c>
      <c r="D36" s="62" t="s">
        <v>29</v>
      </c>
      <c r="E36" s="40">
        <v>1</v>
      </c>
      <c r="F36" s="40">
        <v>1</v>
      </c>
      <c r="G36" s="18">
        <f t="shared" si="6"/>
        <v>1</v>
      </c>
      <c r="H36" s="27"/>
    </row>
    <row r="37" spans="1:8" x14ac:dyDescent="0.25">
      <c r="A37" s="89"/>
      <c r="B37" s="90"/>
      <c r="C37" s="16" t="s">
        <v>64</v>
      </c>
      <c r="D37" s="62" t="s">
        <v>29</v>
      </c>
      <c r="E37" s="40">
        <v>1</v>
      </c>
      <c r="F37" s="40">
        <v>1</v>
      </c>
      <c r="G37" s="18">
        <f t="shared" si="6"/>
        <v>1</v>
      </c>
      <c r="H37" s="27"/>
    </row>
    <row r="38" spans="1:8" x14ac:dyDescent="0.25">
      <c r="A38" s="85" t="s">
        <v>47</v>
      </c>
      <c r="B38" s="87">
        <v>42626</v>
      </c>
      <c r="C38" s="16" t="s">
        <v>44</v>
      </c>
      <c r="D38" s="62" t="s">
        <v>29</v>
      </c>
      <c r="E38" s="40">
        <v>1</v>
      </c>
      <c r="F38" s="40">
        <v>1</v>
      </c>
      <c r="G38" s="18">
        <f t="shared" si="6"/>
        <v>1</v>
      </c>
      <c r="H38" s="27"/>
    </row>
    <row r="39" spans="1:8" x14ac:dyDescent="0.25">
      <c r="A39" s="86"/>
      <c r="B39" s="88"/>
      <c r="C39" s="16" t="s">
        <v>32</v>
      </c>
      <c r="D39" s="62" t="s">
        <v>29</v>
      </c>
      <c r="E39" s="40">
        <v>1</v>
      </c>
      <c r="F39" s="40">
        <v>1</v>
      </c>
      <c r="G39" s="18">
        <f t="shared" si="6"/>
        <v>1</v>
      </c>
      <c r="H39" s="27"/>
    </row>
    <row r="40" spans="1:8" x14ac:dyDescent="0.25">
      <c r="A40" s="86"/>
      <c r="B40" s="88"/>
      <c r="C40" s="16" t="s">
        <v>77</v>
      </c>
      <c r="D40" s="62" t="s">
        <v>29</v>
      </c>
      <c r="E40" s="40">
        <v>1</v>
      </c>
      <c r="F40" s="40">
        <v>1</v>
      </c>
      <c r="G40" s="18">
        <f t="shared" si="6"/>
        <v>1</v>
      </c>
      <c r="H40" s="27"/>
    </row>
    <row r="41" spans="1:8" x14ac:dyDescent="0.25">
      <c r="A41" s="86"/>
      <c r="B41" s="88"/>
      <c r="C41" s="16" t="s">
        <v>78</v>
      </c>
      <c r="D41" s="62" t="s">
        <v>29</v>
      </c>
      <c r="E41" s="40">
        <v>1</v>
      </c>
      <c r="F41" s="40">
        <v>1</v>
      </c>
      <c r="G41" s="18">
        <f t="shared" si="6"/>
        <v>1</v>
      </c>
      <c r="H41" s="27"/>
    </row>
    <row r="42" spans="1:8" x14ac:dyDescent="0.25">
      <c r="A42" s="86"/>
      <c r="B42" s="88"/>
      <c r="C42" s="16" t="s">
        <v>79</v>
      </c>
      <c r="D42" s="62" t="s">
        <v>29</v>
      </c>
      <c r="E42" s="40">
        <v>1</v>
      </c>
      <c r="F42" s="40">
        <v>1</v>
      </c>
      <c r="G42" s="18">
        <f t="shared" si="6"/>
        <v>1</v>
      </c>
      <c r="H42" s="27"/>
    </row>
    <row r="43" spans="1:8" x14ac:dyDescent="0.25">
      <c r="A43" s="85" t="s">
        <v>53</v>
      </c>
      <c r="B43" s="87">
        <v>42627</v>
      </c>
      <c r="C43" s="16" t="s">
        <v>44</v>
      </c>
      <c r="D43" s="62" t="s">
        <v>29</v>
      </c>
      <c r="E43" s="40">
        <v>1</v>
      </c>
      <c r="F43" s="40">
        <v>1</v>
      </c>
      <c r="G43" s="18">
        <f t="shared" si="6"/>
        <v>1</v>
      </c>
      <c r="H43" s="27"/>
    </row>
    <row r="44" spans="1:8" x14ac:dyDescent="0.25">
      <c r="A44" s="86"/>
      <c r="B44" s="88"/>
      <c r="C44" s="16" t="s">
        <v>32</v>
      </c>
      <c r="D44" s="62" t="s">
        <v>29</v>
      </c>
      <c r="E44" s="40">
        <v>1</v>
      </c>
      <c r="F44" s="40">
        <v>1</v>
      </c>
      <c r="G44" s="18">
        <f t="shared" si="6"/>
        <v>1</v>
      </c>
      <c r="H44" s="27"/>
    </row>
    <row r="45" spans="1:8" x14ac:dyDescent="0.25">
      <c r="A45" s="86"/>
      <c r="B45" s="88"/>
      <c r="C45" s="16" t="s">
        <v>78</v>
      </c>
      <c r="D45" s="62" t="s">
        <v>29</v>
      </c>
      <c r="E45" s="40">
        <v>1</v>
      </c>
      <c r="F45" s="40">
        <v>1</v>
      </c>
      <c r="G45" s="18">
        <f t="shared" si="6"/>
        <v>1</v>
      </c>
      <c r="H45" s="27"/>
    </row>
    <row r="46" spans="1:8" x14ac:dyDescent="0.25">
      <c r="A46" s="86"/>
      <c r="B46" s="88"/>
      <c r="C46" s="16" t="s">
        <v>66</v>
      </c>
      <c r="D46" s="62" t="s">
        <v>29</v>
      </c>
      <c r="E46" s="40">
        <v>1</v>
      </c>
      <c r="F46" s="40">
        <v>1</v>
      </c>
      <c r="G46" s="18">
        <f t="shared" si="6"/>
        <v>1</v>
      </c>
      <c r="H46" s="27"/>
    </row>
    <row r="47" spans="1:8" x14ac:dyDescent="0.25">
      <c r="A47" s="89"/>
      <c r="B47" s="90"/>
      <c r="C47" s="16" t="s">
        <v>65</v>
      </c>
      <c r="D47" s="62" t="s">
        <v>29</v>
      </c>
      <c r="E47" s="40">
        <v>1</v>
      </c>
      <c r="F47" s="40">
        <v>1</v>
      </c>
      <c r="G47" s="18">
        <f t="shared" si="6"/>
        <v>1</v>
      </c>
      <c r="H47" s="27"/>
    </row>
    <row r="48" spans="1:8" x14ac:dyDescent="0.25">
      <c r="A48" s="85" t="s">
        <v>54</v>
      </c>
      <c r="B48" s="87">
        <v>42628</v>
      </c>
      <c r="C48" s="16" t="s">
        <v>44</v>
      </c>
      <c r="D48" s="62" t="s">
        <v>29</v>
      </c>
      <c r="E48" s="40">
        <v>1</v>
      </c>
      <c r="F48" s="40">
        <v>1</v>
      </c>
      <c r="G48" s="18">
        <f t="shared" si="6"/>
        <v>1</v>
      </c>
      <c r="H48" s="27"/>
    </row>
    <row r="49" spans="1:8" x14ac:dyDescent="0.25">
      <c r="A49" s="86"/>
      <c r="B49" s="88"/>
      <c r="C49" s="16" t="s">
        <v>32</v>
      </c>
      <c r="D49" s="62" t="s">
        <v>29</v>
      </c>
      <c r="E49" s="40">
        <v>1</v>
      </c>
      <c r="F49" s="40">
        <v>1</v>
      </c>
      <c r="G49" s="18">
        <f t="shared" si="6"/>
        <v>1</v>
      </c>
      <c r="H49" s="27"/>
    </row>
    <row r="50" spans="1:8" x14ac:dyDescent="0.25">
      <c r="A50" s="86"/>
      <c r="B50" s="88"/>
      <c r="C50" s="16" t="s">
        <v>78</v>
      </c>
      <c r="D50" s="62" t="s">
        <v>29</v>
      </c>
      <c r="E50" s="40">
        <v>1</v>
      </c>
      <c r="F50" s="40">
        <v>1</v>
      </c>
      <c r="G50" s="18">
        <f t="shared" si="6"/>
        <v>1</v>
      </c>
      <c r="H50" s="27"/>
    </row>
    <row r="51" spans="1:8" x14ac:dyDescent="0.25">
      <c r="A51" s="85" t="s">
        <v>45</v>
      </c>
      <c r="B51" s="87">
        <v>42629</v>
      </c>
      <c r="C51" s="16" t="s">
        <v>44</v>
      </c>
      <c r="D51" s="62" t="s">
        <v>29</v>
      </c>
      <c r="E51" s="40">
        <v>1</v>
      </c>
      <c r="F51" s="40">
        <v>1</v>
      </c>
      <c r="G51" s="18">
        <f t="shared" ref="G51:G53" si="8">F51/E51</f>
        <v>1</v>
      </c>
      <c r="H51" s="27"/>
    </row>
    <row r="52" spans="1:8" x14ac:dyDescent="0.25">
      <c r="A52" s="86"/>
      <c r="B52" s="88"/>
      <c r="C52" s="16" t="s">
        <v>32</v>
      </c>
      <c r="D52" s="62" t="s">
        <v>29</v>
      </c>
      <c r="E52" s="40">
        <v>1</v>
      </c>
      <c r="F52" s="40">
        <v>1</v>
      </c>
      <c r="G52" s="18">
        <f t="shared" si="8"/>
        <v>1</v>
      </c>
      <c r="H52" s="27"/>
    </row>
    <row r="53" spans="1:8" x14ac:dyDescent="0.25">
      <c r="A53" s="89"/>
      <c r="B53" s="90"/>
      <c r="C53" s="16" t="s">
        <v>78</v>
      </c>
      <c r="D53" s="62" t="s">
        <v>29</v>
      </c>
      <c r="E53" s="40">
        <v>1</v>
      </c>
      <c r="F53" s="40">
        <v>1</v>
      </c>
      <c r="G53" s="18">
        <f t="shared" si="8"/>
        <v>1</v>
      </c>
      <c r="H53" s="27"/>
    </row>
    <row r="54" spans="1:8" ht="30" x14ac:dyDescent="0.25">
      <c r="A54" s="70" t="s">
        <v>46</v>
      </c>
      <c r="B54" s="71">
        <v>42632</v>
      </c>
      <c r="C54" s="72" t="s">
        <v>98</v>
      </c>
      <c r="D54" s="62" t="s">
        <v>29</v>
      </c>
      <c r="E54" s="40">
        <v>1</v>
      </c>
      <c r="F54" s="40">
        <v>1</v>
      </c>
      <c r="G54" s="18">
        <f t="shared" si="6"/>
        <v>1</v>
      </c>
      <c r="H54" s="27"/>
    </row>
    <row r="55" spans="1:8" ht="30" x14ac:dyDescent="0.25">
      <c r="A55" s="70" t="s">
        <v>47</v>
      </c>
      <c r="B55" s="71">
        <v>42633</v>
      </c>
      <c r="C55" s="72" t="s">
        <v>98</v>
      </c>
      <c r="D55" s="62" t="s">
        <v>29</v>
      </c>
      <c r="E55" s="40">
        <v>1</v>
      </c>
      <c r="F55" s="40">
        <v>1</v>
      </c>
      <c r="G55" s="18">
        <f t="shared" si="6"/>
        <v>1</v>
      </c>
      <c r="H55" s="27"/>
    </row>
    <row r="56" spans="1:8" x14ac:dyDescent="0.25">
      <c r="A56" s="85" t="s">
        <v>53</v>
      </c>
      <c r="B56" s="87">
        <v>42634</v>
      </c>
      <c r="C56" s="16" t="s">
        <v>44</v>
      </c>
      <c r="D56" s="62" t="s">
        <v>29</v>
      </c>
      <c r="E56" s="40">
        <v>1</v>
      </c>
      <c r="F56" s="40">
        <v>1</v>
      </c>
      <c r="G56" s="18">
        <f t="shared" ref="G56:G61" si="9">F56/E56</f>
        <v>1</v>
      </c>
      <c r="H56" s="27"/>
    </row>
    <row r="57" spans="1:8" x14ac:dyDescent="0.25">
      <c r="A57" s="86"/>
      <c r="B57" s="88"/>
      <c r="C57" s="16" t="s">
        <v>32</v>
      </c>
      <c r="D57" s="62" t="s">
        <v>29</v>
      </c>
      <c r="E57" s="40">
        <v>1</v>
      </c>
      <c r="F57" s="40">
        <v>1</v>
      </c>
      <c r="G57" s="18">
        <f t="shared" si="9"/>
        <v>1</v>
      </c>
      <c r="H57" s="27"/>
    </row>
    <row r="58" spans="1:8" x14ac:dyDescent="0.25">
      <c r="A58" s="89"/>
      <c r="B58" s="90"/>
      <c r="C58" s="16" t="s">
        <v>93</v>
      </c>
      <c r="D58" s="62" t="s">
        <v>29</v>
      </c>
      <c r="E58" s="40">
        <v>1</v>
      </c>
      <c r="F58" s="40">
        <v>1</v>
      </c>
      <c r="G58" s="18">
        <f t="shared" si="9"/>
        <v>1</v>
      </c>
      <c r="H58" s="27"/>
    </row>
    <row r="59" spans="1:8" x14ac:dyDescent="0.25">
      <c r="A59" s="85" t="s">
        <v>54</v>
      </c>
      <c r="B59" s="87">
        <v>42635</v>
      </c>
      <c r="C59" s="16" t="s">
        <v>44</v>
      </c>
      <c r="D59" s="62" t="s">
        <v>29</v>
      </c>
      <c r="E59" s="40">
        <v>1</v>
      </c>
      <c r="F59" s="40">
        <v>1</v>
      </c>
      <c r="G59" s="18">
        <f t="shared" si="9"/>
        <v>1</v>
      </c>
      <c r="H59" s="27"/>
    </row>
    <row r="60" spans="1:8" x14ac:dyDescent="0.25">
      <c r="A60" s="86"/>
      <c r="B60" s="88"/>
      <c r="C60" s="16" t="s">
        <v>79</v>
      </c>
      <c r="D60" s="62" t="s">
        <v>29</v>
      </c>
      <c r="E60" s="40">
        <v>1</v>
      </c>
      <c r="F60" s="40">
        <v>1</v>
      </c>
      <c r="G60" s="18">
        <f t="shared" si="9"/>
        <v>1</v>
      </c>
      <c r="H60" s="27"/>
    </row>
    <row r="61" spans="1:8" x14ac:dyDescent="0.25">
      <c r="A61" s="89"/>
      <c r="B61" s="90"/>
      <c r="C61" s="16" t="s">
        <v>81</v>
      </c>
      <c r="D61" s="62" t="s">
        <v>82</v>
      </c>
      <c r="E61" s="40">
        <v>3</v>
      </c>
      <c r="F61" s="40">
        <v>3</v>
      </c>
      <c r="G61" s="18">
        <f t="shared" si="9"/>
        <v>1</v>
      </c>
      <c r="H61" s="27"/>
    </row>
    <row r="62" spans="1:8" x14ac:dyDescent="0.25">
      <c r="A62" s="85" t="s">
        <v>80</v>
      </c>
      <c r="B62" s="87">
        <v>42636</v>
      </c>
      <c r="C62" s="16" t="s">
        <v>44</v>
      </c>
      <c r="D62" s="62" t="s">
        <v>29</v>
      </c>
      <c r="E62" s="40">
        <v>1</v>
      </c>
      <c r="F62" s="40">
        <v>1</v>
      </c>
      <c r="G62" s="18">
        <f t="shared" ref="G62:G77" si="10">F62/E62</f>
        <v>1</v>
      </c>
      <c r="H62" s="27"/>
    </row>
    <row r="63" spans="1:8" x14ac:dyDescent="0.25">
      <c r="A63" s="86"/>
      <c r="B63" s="88"/>
      <c r="C63" s="16" t="s">
        <v>32</v>
      </c>
      <c r="D63" s="62" t="s">
        <v>29</v>
      </c>
      <c r="E63" s="40">
        <v>1</v>
      </c>
      <c r="F63" s="40">
        <v>1</v>
      </c>
      <c r="G63" s="18">
        <f t="shared" si="10"/>
        <v>1</v>
      </c>
      <c r="H63" s="27"/>
    </row>
    <row r="64" spans="1:8" ht="30" x14ac:dyDescent="0.25">
      <c r="A64" s="89"/>
      <c r="B64" s="90"/>
      <c r="C64" s="16" t="s">
        <v>97</v>
      </c>
      <c r="D64" s="62" t="s">
        <v>29</v>
      </c>
      <c r="E64" s="40">
        <v>1</v>
      </c>
      <c r="F64" s="40">
        <v>1</v>
      </c>
      <c r="G64" s="18">
        <f t="shared" si="10"/>
        <v>1</v>
      </c>
      <c r="H64" s="27"/>
    </row>
    <row r="65" spans="1:8" x14ac:dyDescent="0.25">
      <c r="A65" s="85" t="s">
        <v>46</v>
      </c>
      <c r="B65" s="87">
        <v>42639</v>
      </c>
      <c r="C65" s="16" t="s">
        <v>44</v>
      </c>
      <c r="D65" s="62" t="s">
        <v>29</v>
      </c>
      <c r="E65" s="40">
        <v>1</v>
      </c>
      <c r="F65" s="40">
        <v>1</v>
      </c>
      <c r="G65" s="18">
        <f t="shared" si="10"/>
        <v>1</v>
      </c>
      <c r="H65" s="27"/>
    </row>
    <row r="66" spans="1:8" x14ac:dyDescent="0.25">
      <c r="A66" s="86"/>
      <c r="B66" s="88"/>
      <c r="C66" s="16" t="s">
        <v>32</v>
      </c>
      <c r="D66" s="62" t="s">
        <v>29</v>
      </c>
      <c r="E66" s="40">
        <v>1</v>
      </c>
      <c r="F66" s="40">
        <v>1</v>
      </c>
      <c r="G66" s="18">
        <f t="shared" si="10"/>
        <v>1</v>
      </c>
      <c r="H66" s="27"/>
    </row>
    <row r="67" spans="1:8" ht="30" x14ac:dyDescent="0.25">
      <c r="A67" s="89"/>
      <c r="B67" s="90"/>
      <c r="C67" s="16" t="s">
        <v>97</v>
      </c>
      <c r="D67" s="62" t="s">
        <v>29</v>
      </c>
      <c r="E67" s="40">
        <v>1</v>
      </c>
      <c r="F67" s="40">
        <v>1</v>
      </c>
      <c r="G67" s="18">
        <f t="shared" si="10"/>
        <v>1</v>
      </c>
      <c r="H67" s="27"/>
    </row>
    <row r="68" spans="1:8" x14ac:dyDescent="0.25">
      <c r="A68" s="85" t="s">
        <v>47</v>
      </c>
      <c r="B68" s="87">
        <v>42640</v>
      </c>
      <c r="C68" s="16" t="s">
        <v>44</v>
      </c>
      <c r="D68" s="62" t="s">
        <v>29</v>
      </c>
      <c r="E68" s="40">
        <v>1</v>
      </c>
      <c r="F68" s="40">
        <v>1</v>
      </c>
      <c r="G68" s="18">
        <f t="shared" si="10"/>
        <v>1</v>
      </c>
      <c r="H68" s="27"/>
    </row>
    <row r="69" spans="1:8" x14ac:dyDescent="0.25">
      <c r="A69" s="86"/>
      <c r="B69" s="88"/>
      <c r="C69" s="16" t="s">
        <v>32</v>
      </c>
      <c r="D69" s="62" t="s">
        <v>29</v>
      </c>
      <c r="E69" s="40">
        <v>1</v>
      </c>
      <c r="F69" s="40">
        <v>1</v>
      </c>
      <c r="G69" s="18">
        <f t="shared" si="10"/>
        <v>1</v>
      </c>
      <c r="H69" s="27"/>
    </row>
    <row r="70" spans="1:8" ht="30" x14ac:dyDescent="0.25">
      <c r="A70" s="89"/>
      <c r="B70" s="90"/>
      <c r="C70" s="16" t="s">
        <v>97</v>
      </c>
      <c r="D70" s="62" t="s">
        <v>29</v>
      </c>
      <c r="E70" s="40">
        <v>1</v>
      </c>
      <c r="F70" s="40">
        <v>1</v>
      </c>
      <c r="G70" s="18">
        <f t="shared" si="10"/>
        <v>1</v>
      </c>
      <c r="H70" s="27"/>
    </row>
    <row r="71" spans="1:8" x14ac:dyDescent="0.25">
      <c r="A71" s="85" t="s">
        <v>53</v>
      </c>
      <c r="B71" s="87">
        <v>42641</v>
      </c>
      <c r="C71" s="16" t="s">
        <v>44</v>
      </c>
      <c r="D71" s="62" t="s">
        <v>29</v>
      </c>
      <c r="E71" s="40">
        <v>1</v>
      </c>
      <c r="F71" s="40">
        <v>1</v>
      </c>
      <c r="G71" s="18">
        <f t="shared" si="10"/>
        <v>1</v>
      </c>
      <c r="H71" s="27"/>
    </row>
    <row r="72" spans="1:8" x14ac:dyDescent="0.25">
      <c r="A72" s="86"/>
      <c r="B72" s="88"/>
      <c r="C72" s="16" t="s">
        <v>32</v>
      </c>
      <c r="D72" s="62" t="s">
        <v>29</v>
      </c>
      <c r="E72" s="40">
        <v>1</v>
      </c>
      <c r="F72" s="40">
        <v>1</v>
      </c>
      <c r="G72" s="18">
        <f t="shared" si="10"/>
        <v>1</v>
      </c>
      <c r="H72" s="27"/>
    </row>
    <row r="73" spans="1:8" x14ac:dyDescent="0.25">
      <c r="A73" s="89"/>
      <c r="B73" s="90"/>
      <c r="C73" s="16" t="s">
        <v>84</v>
      </c>
      <c r="D73" s="62" t="s">
        <v>29</v>
      </c>
      <c r="E73" s="40">
        <v>1</v>
      </c>
      <c r="F73" s="40">
        <v>1</v>
      </c>
      <c r="G73" s="18">
        <f t="shared" si="10"/>
        <v>1</v>
      </c>
      <c r="H73" s="27"/>
    </row>
    <row r="74" spans="1:8" x14ac:dyDescent="0.25">
      <c r="A74" s="85" t="s">
        <v>54</v>
      </c>
      <c r="B74" s="87">
        <v>42642</v>
      </c>
      <c r="C74" s="16" t="s">
        <v>44</v>
      </c>
      <c r="D74" s="62" t="s">
        <v>29</v>
      </c>
      <c r="E74" s="40">
        <v>1</v>
      </c>
      <c r="F74" s="40">
        <v>1</v>
      </c>
      <c r="G74" s="18">
        <f t="shared" si="10"/>
        <v>1</v>
      </c>
      <c r="H74" s="27"/>
    </row>
    <row r="75" spans="1:8" x14ac:dyDescent="0.25">
      <c r="A75" s="86"/>
      <c r="B75" s="88"/>
      <c r="C75" s="16" t="s">
        <v>32</v>
      </c>
      <c r="D75" s="62" t="s">
        <v>29</v>
      </c>
      <c r="E75" s="40">
        <v>1</v>
      </c>
      <c r="F75" s="40">
        <v>1</v>
      </c>
      <c r="G75" s="18">
        <f t="shared" si="10"/>
        <v>1</v>
      </c>
      <c r="H75" s="27"/>
    </row>
    <row r="76" spans="1:8" x14ac:dyDescent="0.25">
      <c r="A76" s="86"/>
      <c r="B76" s="88"/>
      <c r="C76" s="16" t="s">
        <v>91</v>
      </c>
      <c r="D76" s="62" t="s">
        <v>92</v>
      </c>
      <c r="E76" s="40">
        <v>5</v>
      </c>
      <c r="F76" s="40">
        <v>5</v>
      </c>
      <c r="G76" s="18">
        <f t="shared" si="10"/>
        <v>1</v>
      </c>
      <c r="H76" s="27"/>
    </row>
    <row r="77" spans="1:8" x14ac:dyDescent="0.25">
      <c r="A77" s="89"/>
      <c r="B77" s="90"/>
      <c r="C77" s="16" t="s">
        <v>85</v>
      </c>
      <c r="D77" s="62" t="s">
        <v>29</v>
      </c>
      <c r="E77" s="40">
        <v>1</v>
      </c>
      <c r="F77" s="40">
        <v>1</v>
      </c>
      <c r="G77" s="18">
        <f t="shared" si="10"/>
        <v>1</v>
      </c>
      <c r="H77" s="27"/>
    </row>
    <row r="78" spans="1:8" x14ac:dyDescent="0.25">
      <c r="A78" s="85" t="s">
        <v>80</v>
      </c>
      <c r="B78" s="87">
        <v>42643</v>
      </c>
      <c r="C78" s="16" t="s">
        <v>44</v>
      </c>
      <c r="D78" s="62" t="s">
        <v>29</v>
      </c>
      <c r="E78" s="40">
        <v>1</v>
      </c>
      <c r="F78" s="40">
        <v>1</v>
      </c>
      <c r="G78" s="18">
        <f t="shared" ref="G78:G80" si="11">F78/E78</f>
        <v>1</v>
      </c>
      <c r="H78" s="27"/>
    </row>
    <row r="79" spans="1:8" x14ac:dyDescent="0.25">
      <c r="A79" s="86"/>
      <c r="B79" s="88"/>
      <c r="C79" s="16" t="s">
        <v>32</v>
      </c>
      <c r="D79" s="62" t="s">
        <v>29</v>
      </c>
      <c r="E79" s="40">
        <v>1</v>
      </c>
      <c r="F79" s="40">
        <v>1</v>
      </c>
      <c r="G79" s="18">
        <f t="shared" si="11"/>
        <v>1</v>
      </c>
      <c r="H79" s="27"/>
    </row>
    <row r="80" spans="1:8" x14ac:dyDescent="0.25">
      <c r="A80" s="89"/>
      <c r="B80" s="90"/>
      <c r="C80" s="16" t="s">
        <v>83</v>
      </c>
      <c r="D80" s="62" t="s">
        <v>29</v>
      </c>
      <c r="E80" s="40">
        <v>1</v>
      </c>
      <c r="F80" s="40">
        <v>1</v>
      </c>
      <c r="G80" s="18">
        <f t="shared" si="11"/>
        <v>1</v>
      </c>
      <c r="H80" s="27"/>
    </row>
    <row r="81" spans="1:8" x14ac:dyDescent="0.25">
      <c r="A81" s="41"/>
      <c r="B81" s="34"/>
      <c r="C81" s="36"/>
      <c r="D81" s="34"/>
      <c r="E81" s="35"/>
      <c r="F81" s="35"/>
      <c r="G81" s="37"/>
      <c r="H81" s="34"/>
    </row>
    <row r="82" spans="1:8" x14ac:dyDescent="0.25">
      <c r="A82" s="41"/>
      <c r="B82" s="63" t="s">
        <v>15</v>
      </c>
      <c r="C82" s="34"/>
      <c r="D82" s="34"/>
      <c r="E82" s="34"/>
      <c r="F82" s="34"/>
      <c r="G82" s="34"/>
      <c r="H82" s="14"/>
    </row>
    <row r="83" spans="1:8" x14ac:dyDescent="0.25">
      <c r="A83" s="41"/>
      <c r="B83" s="64" t="s">
        <v>56</v>
      </c>
      <c r="C83" s="63"/>
      <c r="D83" s="14"/>
      <c r="E83" s="61"/>
      <c r="F83" s="9"/>
      <c r="G83" s="58"/>
      <c r="H83" s="14"/>
    </row>
    <row r="84" spans="1:8" x14ac:dyDescent="0.25">
      <c r="A84" s="41"/>
      <c r="B84" s="21"/>
      <c r="C84" s="64"/>
      <c r="D84" s="14"/>
      <c r="E84" s="61"/>
      <c r="F84" s="9"/>
      <c r="G84" s="58"/>
      <c r="H84" s="14"/>
    </row>
    <row r="85" spans="1:8" x14ac:dyDescent="0.25">
      <c r="A85" s="41"/>
      <c r="B85" s="20"/>
      <c r="C85" s="14"/>
      <c r="D85" s="14"/>
      <c r="E85" s="61"/>
      <c r="F85" s="9"/>
      <c r="G85" s="58"/>
    </row>
    <row r="86" spans="1:8" x14ac:dyDescent="0.25">
      <c r="A86" s="41"/>
      <c r="B86" s="46" t="s">
        <v>16</v>
      </c>
      <c r="C86" s="46"/>
      <c r="D86" s="46"/>
      <c r="H86" s="44"/>
    </row>
    <row r="87" spans="1:8" x14ac:dyDescent="0.25">
      <c r="A87" s="41"/>
      <c r="B87" s="59" t="s">
        <v>39</v>
      </c>
      <c r="C87" s="59"/>
      <c r="F87" s="75" t="s">
        <v>41</v>
      </c>
      <c r="G87" s="75"/>
      <c r="H87" s="75"/>
    </row>
    <row r="88" spans="1:8" x14ac:dyDescent="0.25">
      <c r="A88" s="41"/>
      <c r="B88" s="59"/>
      <c r="C88" s="59"/>
      <c r="E88" s="46"/>
      <c r="F88" s="75" t="s">
        <v>42</v>
      </c>
      <c r="G88" s="75"/>
      <c r="H88" s="75"/>
    </row>
    <row r="89" spans="1:8" x14ac:dyDescent="0.25">
      <c r="A89" s="41"/>
      <c r="B89" s="21"/>
      <c r="C89" s="59"/>
      <c r="D89" s="46"/>
      <c r="E89" s="46"/>
      <c r="F89" s="58"/>
      <c r="G89" s="58"/>
      <c r="H89" s="14"/>
    </row>
    <row r="90" spans="1:8" x14ac:dyDescent="0.25">
      <c r="A90" s="41"/>
      <c r="B90" s="20"/>
      <c r="C90" s="14"/>
      <c r="D90" s="14"/>
      <c r="E90" s="61"/>
      <c r="F90" s="9"/>
      <c r="G90" s="58"/>
      <c r="H90" s="57"/>
    </row>
    <row r="91" spans="1:8" x14ac:dyDescent="0.25">
      <c r="A91" s="41"/>
      <c r="B91" s="47" t="s">
        <v>36</v>
      </c>
      <c r="C91" s="60"/>
      <c r="D91" s="60"/>
      <c r="E91" s="60"/>
      <c r="F91" s="57"/>
      <c r="G91" s="57" t="s">
        <v>43</v>
      </c>
      <c r="H91" s="58"/>
    </row>
    <row r="92" spans="1:8" x14ac:dyDescent="0.25">
      <c r="A92" s="41"/>
      <c r="B92" s="14" t="s">
        <v>37</v>
      </c>
      <c r="C92" s="61"/>
      <c r="D92" s="61"/>
      <c r="E92" s="61"/>
      <c r="F92" s="58"/>
      <c r="G92" s="58" t="s">
        <v>38</v>
      </c>
    </row>
  </sheetData>
  <mergeCells count="52">
    <mergeCell ref="A65:A67"/>
    <mergeCell ref="B65:B67"/>
    <mergeCell ref="A68:A70"/>
    <mergeCell ref="B68:B70"/>
    <mergeCell ref="A71:A73"/>
    <mergeCell ref="B71:B73"/>
    <mergeCell ref="F87:H87"/>
    <mergeCell ref="F88:H88"/>
    <mergeCell ref="A51:A53"/>
    <mergeCell ref="B51:B53"/>
    <mergeCell ref="A31:A33"/>
    <mergeCell ref="B31:B33"/>
    <mergeCell ref="A56:A58"/>
    <mergeCell ref="B56:B58"/>
    <mergeCell ref="A59:A61"/>
    <mergeCell ref="B59:B61"/>
    <mergeCell ref="A62:A64"/>
    <mergeCell ref="B62:B64"/>
    <mergeCell ref="A74:A77"/>
    <mergeCell ref="B74:B77"/>
    <mergeCell ref="A78:A80"/>
    <mergeCell ref="B78:B80"/>
    <mergeCell ref="A8:B9"/>
    <mergeCell ref="A10:B10"/>
    <mergeCell ref="C8:C9"/>
    <mergeCell ref="E8:E9"/>
    <mergeCell ref="B1:H1"/>
    <mergeCell ref="D8:D9"/>
    <mergeCell ref="F8:G8"/>
    <mergeCell ref="H8:H9"/>
    <mergeCell ref="A2:H2"/>
    <mergeCell ref="D3:H7"/>
    <mergeCell ref="A3:A7"/>
    <mergeCell ref="B7:C7"/>
    <mergeCell ref="B11:B13"/>
    <mergeCell ref="A11:A13"/>
    <mergeCell ref="A27:A30"/>
    <mergeCell ref="B27:B30"/>
    <mergeCell ref="A34:A37"/>
    <mergeCell ref="B34:B37"/>
    <mergeCell ref="A17:A21"/>
    <mergeCell ref="B17:B21"/>
    <mergeCell ref="A22:A26"/>
    <mergeCell ref="B22:B26"/>
    <mergeCell ref="B14:B16"/>
    <mergeCell ref="A14:A16"/>
    <mergeCell ref="A38:A42"/>
    <mergeCell ref="B38:B42"/>
    <mergeCell ref="A43:A47"/>
    <mergeCell ref="B43:B47"/>
    <mergeCell ref="A48:A50"/>
    <mergeCell ref="B48:B50"/>
  </mergeCells>
  <printOptions horizontalCentered="1"/>
  <pageMargins left="0.36" right="0.3" top="0.75" bottom="0.75" header="0.3" footer="0.3"/>
  <pageSetup paperSize="9" scale="70" fitToWidth="0" fitToHeight="0" orientation="portrait" r:id="rId1"/>
  <rowBreaks count="1" manualBreakCount="1">
    <brk id="61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view="pageBreakPreview" zoomScale="80" zoomScaleNormal="80" zoomScaleSheetLayoutView="80" workbookViewId="0">
      <selection activeCell="D15" sqref="D15"/>
    </sheetView>
  </sheetViews>
  <sheetFormatPr defaultRowHeight="15" x14ac:dyDescent="0.25"/>
  <cols>
    <col min="1" max="1" width="4.7109375" customWidth="1"/>
    <col min="2" max="2" width="20.42578125" customWidth="1"/>
    <col min="3" max="4" width="48.5703125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19"/>
    <col min="15" max="15" width="18.5703125" style="19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78" t="s">
        <v>18</v>
      </c>
      <c r="I2" s="79"/>
    </row>
    <row r="3" spans="1:25" ht="18.75" x14ac:dyDescent="0.3">
      <c r="A3" s="80" t="s">
        <v>49</v>
      </c>
      <c r="B3" s="80"/>
      <c r="C3" s="80"/>
      <c r="D3" s="80"/>
      <c r="E3" s="80"/>
      <c r="F3" s="80"/>
      <c r="G3" s="80"/>
      <c r="H3" s="80"/>
      <c r="I3" s="80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08" t="s">
        <v>1</v>
      </c>
      <c r="B5" s="108"/>
      <c r="C5" t="s">
        <v>2</v>
      </c>
    </row>
    <row r="6" spans="1:25" x14ac:dyDescent="0.25">
      <c r="A6" s="108" t="s">
        <v>3</v>
      </c>
      <c r="B6" s="108"/>
      <c r="C6" s="10" t="s">
        <v>33</v>
      </c>
    </row>
    <row r="7" spans="1:25" x14ac:dyDescent="0.25">
      <c r="A7" s="108" t="s">
        <v>4</v>
      </c>
      <c r="B7" s="108"/>
      <c r="C7" s="10" t="s">
        <v>34</v>
      </c>
    </row>
    <row r="8" spans="1:25" x14ac:dyDescent="0.25">
      <c r="A8" s="108" t="s">
        <v>5</v>
      </c>
      <c r="B8" s="108"/>
      <c r="C8" t="s">
        <v>55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5" ht="15.75" customHeight="1" thickBot="1" x14ac:dyDescent="0.3">
      <c r="L9" s="23"/>
      <c r="M9" s="29"/>
      <c r="N9" s="29"/>
      <c r="O9" s="29"/>
      <c r="P9" s="29"/>
      <c r="Q9" s="39"/>
      <c r="R9" s="39"/>
      <c r="S9" s="39"/>
      <c r="T9" s="39"/>
      <c r="U9" s="39"/>
      <c r="V9" s="39"/>
      <c r="W9" s="39"/>
      <c r="X9" s="39"/>
      <c r="Y9" s="39"/>
    </row>
    <row r="10" spans="1:25" ht="15" customHeight="1" x14ac:dyDescent="0.25">
      <c r="A10" s="125" t="s">
        <v>6</v>
      </c>
      <c r="B10" s="127" t="s">
        <v>7</v>
      </c>
      <c r="C10" s="127"/>
      <c r="D10" s="128" t="s">
        <v>26</v>
      </c>
      <c r="E10" s="128" t="s">
        <v>9</v>
      </c>
      <c r="F10" s="128"/>
      <c r="G10" s="128"/>
      <c r="H10" s="130" t="s">
        <v>10</v>
      </c>
      <c r="I10" s="119" t="s">
        <v>30</v>
      </c>
      <c r="J10" s="119" t="s">
        <v>31</v>
      </c>
      <c r="K10" s="117" t="s">
        <v>11</v>
      </c>
      <c r="L10" s="24"/>
      <c r="M10" s="29"/>
      <c r="N10" s="29"/>
      <c r="O10" s="29"/>
      <c r="P10" s="29"/>
      <c r="Q10" s="39"/>
      <c r="R10" s="39"/>
      <c r="S10" s="39"/>
      <c r="T10" s="39"/>
      <c r="U10" s="39"/>
      <c r="V10" s="39"/>
      <c r="W10" s="39"/>
      <c r="X10" s="39"/>
      <c r="Y10" s="39"/>
    </row>
    <row r="11" spans="1:25" ht="31.5" customHeight="1" x14ac:dyDescent="0.25">
      <c r="A11" s="126"/>
      <c r="B11" s="81"/>
      <c r="C11" s="81"/>
      <c r="D11" s="129"/>
      <c r="E11" s="26" t="s">
        <v>12</v>
      </c>
      <c r="F11" s="26" t="s">
        <v>13</v>
      </c>
      <c r="G11" s="26" t="s">
        <v>14</v>
      </c>
      <c r="H11" s="131"/>
      <c r="I11" s="120"/>
      <c r="J11" s="120"/>
      <c r="K11" s="118"/>
      <c r="L11" s="24"/>
      <c r="M11" s="29"/>
      <c r="N11" s="29"/>
      <c r="O11" s="29"/>
      <c r="P11" s="29"/>
      <c r="Q11" s="39"/>
      <c r="R11" s="39"/>
      <c r="S11" s="39"/>
      <c r="T11" s="39"/>
      <c r="U11" s="39"/>
      <c r="V11" s="39"/>
      <c r="W11" s="39"/>
      <c r="X11" s="39"/>
      <c r="Y11" s="39"/>
    </row>
    <row r="12" spans="1:25" ht="15" customHeight="1" x14ac:dyDescent="0.25">
      <c r="A12" s="30">
        <v>-1</v>
      </c>
      <c r="B12" s="84">
        <f>A12-1</f>
        <v>-2</v>
      </c>
      <c r="C12" s="84"/>
      <c r="D12" s="2">
        <f>B12-1</f>
        <v>-3</v>
      </c>
      <c r="E12" s="2">
        <f t="shared" ref="E12:K12" si="0">D12-1</f>
        <v>-4</v>
      </c>
      <c r="F12" s="2">
        <f t="shared" si="0"/>
        <v>-5</v>
      </c>
      <c r="G12" s="2">
        <f t="shared" si="0"/>
        <v>-6</v>
      </c>
      <c r="H12" s="2">
        <f t="shared" si="0"/>
        <v>-7</v>
      </c>
      <c r="I12" s="2">
        <f t="shared" si="0"/>
        <v>-8</v>
      </c>
      <c r="J12" s="2">
        <f t="shared" si="0"/>
        <v>-9</v>
      </c>
      <c r="K12" s="31">
        <f t="shared" si="0"/>
        <v>-10</v>
      </c>
      <c r="L12" s="24"/>
      <c r="M12" s="29"/>
      <c r="N12" s="29"/>
      <c r="O12" s="29"/>
      <c r="P12" s="29"/>
      <c r="Q12" s="39"/>
      <c r="R12" s="39"/>
      <c r="S12" s="39"/>
      <c r="T12" s="39"/>
      <c r="U12" s="39"/>
      <c r="V12" s="39"/>
      <c r="W12" s="39"/>
      <c r="X12" s="39"/>
      <c r="Y12" s="39"/>
    </row>
    <row r="13" spans="1:25" x14ac:dyDescent="0.25">
      <c r="A13" s="3">
        <v>1</v>
      </c>
      <c r="B13" s="123" t="s">
        <v>50</v>
      </c>
      <c r="C13" s="124"/>
      <c r="D13" s="43" t="s">
        <v>35</v>
      </c>
      <c r="E13" s="4">
        <v>1</v>
      </c>
      <c r="F13" s="4">
        <v>1</v>
      </c>
      <c r="G13" s="43">
        <v>100</v>
      </c>
      <c r="H13" s="43">
        <v>100</v>
      </c>
      <c r="I13" s="68"/>
      <c r="J13" s="45"/>
      <c r="K13" s="43"/>
      <c r="L13" s="24"/>
      <c r="M13" s="29"/>
      <c r="N13" s="29"/>
      <c r="O13" s="29"/>
      <c r="P13" s="29"/>
      <c r="Q13" s="39"/>
      <c r="R13" s="39"/>
      <c r="S13" s="39"/>
      <c r="T13" s="39"/>
      <c r="U13" s="39"/>
      <c r="V13" s="39"/>
      <c r="W13" s="39"/>
      <c r="X13" s="39"/>
      <c r="Y13" s="39"/>
    </row>
    <row r="14" spans="1:25" ht="15" customHeight="1" x14ac:dyDescent="0.25">
      <c r="A14" s="3">
        <v>2</v>
      </c>
      <c r="B14" s="123" t="s">
        <v>84</v>
      </c>
      <c r="C14" s="124"/>
      <c r="D14" s="43" t="s">
        <v>67</v>
      </c>
      <c r="E14" s="4">
        <v>9</v>
      </c>
      <c r="F14" s="4">
        <v>9</v>
      </c>
      <c r="G14" s="43">
        <v>100</v>
      </c>
      <c r="H14" s="43">
        <v>100</v>
      </c>
      <c r="I14" s="68"/>
      <c r="J14" s="45"/>
      <c r="K14" s="43"/>
      <c r="L14" s="24"/>
      <c r="M14" s="29"/>
      <c r="N14" s="29"/>
      <c r="O14" s="29"/>
      <c r="P14" s="29"/>
      <c r="Q14" s="39"/>
      <c r="R14" s="39"/>
      <c r="S14" s="39"/>
      <c r="T14" s="39"/>
      <c r="U14" s="39"/>
      <c r="V14" s="39"/>
      <c r="W14" s="39"/>
      <c r="X14" s="39"/>
      <c r="Y14" s="39"/>
    </row>
    <row r="15" spans="1:25" ht="15" customHeight="1" x14ac:dyDescent="0.25">
      <c r="A15" s="3">
        <v>3</v>
      </c>
      <c r="B15" s="123" t="s">
        <v>86</v>
      </c>
      <c r="C15" s="124"/>
      <c r="D15" s="43" t="s">
        <v>99</v>
      </c>
      <c r="E15" s="4">
        <v>3</v>
      </c>
      <c r="F15" s="4">
        <v>3</v>
      </c>
      <c r="G15" s="43">
        <v>100</v>
      </c>
      <c r="H15" s="43">
        <v>100</v>
      </c>
      <c r="I15" s="68"/>
      <c r="J15" s="45"/>
      <c r="K15" s="43"/>
      <c r="L15" s="24"/>
      <c r="M15" s="29"/>
      <c r="N15" s="29"/>
      <c r="O15" s="29"/>
      <c r="P15" s="29"/>
      <c r="Q15" s="39"/>
      <c r="R15" s="39"/>
      <c r="S15" s="39"/>
      <c r="T15" s="39"/>
      <c r="U15" s="39"/>
      <c r="V15" s="39"/>
      <c r="W15" s="39"/>
      <c r="X15" s="39"/>
      <c r="Y15" s="39"/>
    </row>
    <row r="16" spans="1:25" ht="15" customHeight="1" x14ac:dyDescent="0.25">
      <c r="A16" s="3">
        <v>4</v>
      </c>
      <c r="B16" s="123" t="s">
        <v>87</v>
      </c>
      <c r="C16" s="124"/>
      <c r="D16" s="43" t="s">
        <v>35</v>
      </c>
      <c r="E16" s="4">
        <v>1</v>
      </c>
      <c r="F16" s="4">
        <v>1</v>
      </c>
      <c r="G16" s="43">
        <v>100</v>
      </c>
      <c r="H16" s="43">
        <v>100</v>
      </c>
      <c r="I16" s="68"/>
      <c r="J16" s="45"/>
      <c r="K16" s="43"/>
      <c r="L16" s="24"/>
      <c r="M16" s="29"/>
      <c r="N16" s="29"/>
      <c r="O16" s="29"/>
      <c r="P16" s="29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15" customHeight="1" x14ac:dyDescent="0.25">
      <c r="A17" s="3">
        <v>5</v>
      </c>
      <c r="B17" s="123" t="s">
        <v>88</v>
      </c>
      <c r="C17" s="124"/>
      <c r="D17" s="43" t="s">
        <v>35</v>
      </c>
      <c r="E17" s="4">
        <v>1</v>
      </c>
      <c r="F17" s="4">
        <v>1</v>
      </c>
      <c r="G17" s="43">
        <v>100</v>
      </c>
      <c r="H17" s="43">
        <v>100</v>
      </c>
      <c r="I17" s="68"/>
      <c r="J17" s="45"/>
      <c r="K17" s="43"/>
      <c r="L17" s="24"/>
      <c r="M17" s="29"/>
      <c r="N17" s="29"/>
      <c r="O17" s="29"/>
      <c r="P17" s="29"/>
      <c r="Q17" s="39"/>
      <c r="R17" s="39"/>
      <c r="S17" s="39"/>
      <c r="T17" s="39"/>
      <c r="U17" s="39"/>
      <c r="V17" s="39"/>
      <c r="W17" s="39"/>
      <c r="X17" s="39"/>
      <c r="Y17" s="39"/>
    </row>
    <row r="18" spans="1:25" x14ac:dyDescent="0.25">
      <c r="A18" s="109"/>
      <c r="B18" s="110"/>
      <c r="C18" s="110"/>
      <c r="D18" s="110"/>
      <c r="E18" s="110"/>
      <c r="F18" s="110"/>
      <c r="G18" s="110"/>
      <c r="H18" s="111"/>
      <c r="I18" s="25"/>
      <c r="J18" s="33">
        <f>SUM(J13:J17)</f>
        <v>0</v>
      </c>
      <c r="K18" s="106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5" x14ac:dyDescent="0.25">
      <c r="A19" s="109" t="s">
        <v>19</v>
      </c>
      <c r="B19" s="110"/>
      <c r="C19" s="110"/>
      <c r="D19" s="110"/>
      <c r="E19" s="110"/>
      <c r="F19" s="111"/>
      <c r="G19" s="22">
        <f>AVERAGE(G13:G17)</f>
        <v>100</v>
      </c>
      <c r="H19" s="22">
        <f>AVERAGE(H13:H17)</f>
        <v>100</v>
      </c>
      <c r="I19" s="25"/>
      <c r="J19" s="121"/>
      <c r="K19" s="106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5" ht="15.75" thickBot="1" x14ac:dyDescent="0.3">
      <c r="A20" s="112" t="s">
        <v>20</v>
      </c>
      <c r="B20" s="113"/>
      <c r="C20" s="113"/>
      <c r="D20" s="113"/>
      <c r="E20" s="113"/>
      <c r="F20" s="114"/>
      <c r="G20" s="115">
        <f>AVERAGE(G19:H19)</f>
        <v>100</v>
      </c>
      <c r="H20" s="116"/>
      <c r="I20" s="32"/>
      <c r="J20" s="122"/>
      <c r="K20" s="10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5" x14ac:dyDescent="0.25"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5" x14ac:dyDescent="0.25">
      <c r="B22" s="132" t="s">
        <v>15</v>
      </c>
      <c r="C22" s="132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5" x14ac:dyDescent="0.25">
      <c r="B23" s="108" t="s">
        <v>57</v>
      </c>
      <c r="C23" s="108"/>
    </row>
    <row r="25" spans="1:25" x14ac:dyDescent="0.25">
      <c r="A25" s="6"/>
      <c r="B25" s="75" t="s">
        <v>16</v>
      </c>
      <c r="C25" s="75"/>
      <c r="D25" s="6"/>
      <c r="E25" s="75" t="s">
        <v>17</v>
      </c>
      <c r="F25" s="75"/>
      <c r="G25" s="75"/>
    </row>
    <row r="26" spans="1:25" x14ac:dyDescent="0.25">
      <c r="A26" s="6"/>
      <c r="B26" s="75" t="s">
        <v>39</v>
      </c>
      <c r="C26" s="75"/>
      <c r="D26" s="6"/>
      <c r="E26" s="42" t="s">
        <v>40</v>
      </c>
      <c r="F26" s="6"/>
      <c r="G26" s="6"/>
    </row>
    <row r="27" spans="1:25" x14ac:dyDescent="0.25">
      <c r="A27" s="6"/>
      <c r="B27" s="6"/>
      <c r="C27" s="7"/>
      <c r="D27" s="6"/>
      <c r="E27" s="6"/>
      <c r="F27" s="6"/>
      <c r="G27" s="6"/>
    </row>
    <row r="28" spans="1:25" x14ac:dyDescent="0.25">
      <c r="A28" s="6"/>
      <c r="B28" s="6"/>
      <c r="D28" s="6"/>
      <c r="E28" s="6"/>
      <c r="G28" s="6"/>
    </row>
    <row r="29" spans="1:25" x14ac:dyDescent="0.25">
      <c r="A29" s="6"/>
      <c r="B29" s="76" t="s">
        <v>36</v>
      </c>
      <c r="C29" s="76"/>
      <c r="D29" s="6"/>
      <c r="E29" s="73" t="s">
        <v>43</v>
      </c>
      <c r="F29" s="73"/>
      <c r="G29" s="73"/>
    </row>
    <row r="30" spans="1:25" x14ac:dyDescent="0.25">
      <c r="A30" s="6"/>
      <c r="B30" s="77" t="s">
        <v>37</v>
      </c>
      <c r="C30" s="77"/>
      <c r="D30" s="6"/>
      <c r="E30" s="74" t="s">
        <v>38</v>
      </c>
      <c r="F30" s="74"/>
      <c r="G30" s="74"/>
    </row>
  </sheetData>
  <mergeCells count="35">
    <mergeCell ref="B14:C14"/>
    <mergeCell ref="E29:G29"/>
    <mergeCell ref="E30:G30"/>
    <mergeCell ref="B22:C22"/>
    <mergeCell ref="B23:C23"/>
    <mergeCell ref="B30:C30"/>
    <mergeCell ref="B29:C29"/>
    <mergeCell ref="B25:C25"/>
    <mergeCell ref="B26:C26"/>
    <mergeCell ref="E25:G25"/>
    <mergeCell ref="B17:C17"/>
    <mergeCell ref="B16:C16"/>
    <mergeCell ref="H2:I2"/>
    <mergeCell ref="A3:I3"/>
    <mergeCell ref="A10:A11"/>
    <mergeCell ref="B10:C11"/>
    <mergeCell ref="D10:D11"/>
    <mergeCell ref="E10:G10"/>
    <mergeCell ref="H10:H11"/>
    <mergeCell ref="K18:K20"/>
    <mergeCell ref="A5:B5"/>
    <mergeCell ref="A6:B6"/>
    <mergeCell ref="A7:B7"/>
    <mergeCell ref="A8:B8"/>
    <mergeCell ref="A18:H18"/>
    <mergeCell ref="A19:F19"/>
    <mergeCell ref="A20:F20"/>
    <mergeCell ref="G20:H20"/>
    <mergeCell ref="B12:C12"/>
    <mergeCell ref="K10:K11"/>
    <mergeCell ref="I10:I11"/>
    <mergeCell ref="J10:J11"/>
    <mergeCell ref="J19:J20"/>
    <mergeCell ref="B13:C13"/>
    <mergeCell ref="B15:C15"/>
  </mergeCells>
  <pageMargins left="0.7" right="0.22" top="0.32" bottom="0.24" header="0.2" footer="0.22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2016-10-04T01:30:44Z</cp:lastPrinted>
  <dcterms:created xsi:type="dcterms:W3CDTF">2014-11-23T23:48:32Z</dcterms:created>
  <dcterms:modified xsi:type="dcterms:W3CDTF">2017-01-16T02:07:49Z</dcterms:modified>
</cp:coreProperties>
</file>