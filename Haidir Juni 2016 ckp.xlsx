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PS kerja\bps bontang\ckp\"/>
    </mc:Choice>
  </mc:AlternateContent>
  <bookViews>
    <workbookView xWindow="0" yWindow="0" windowWidth="20490" windowHeight="7155" activeTab="1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Okt14'!$A$2:$K$32</definedName>
    <definedName name="_xlnm.Print_Area" localSheetId="0">'CKP-T Okt14'!$A$2:$I$28</definedName>
    <definedName name="_xlnm.Print_Titles" localSheetId="1">'LP Okt14'!$8:$10</definedName>
  </definedNames>
  <calcPr calcId="152511"/>
</workbook>
</file>

<file path=xl/calcChain.xml><?xml version="1.0" encoding="utf-8"?>
<calcChain xmlns="http://schemas.openxmlformats.org/spreadsheetml/2006/main">
  <c r="G79" i="3" l="1"/>
  <c r="J17" i="2" l="1"/>
  <c r="J16" i="2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8" i="3"/>
  <c r="G80" i="3"/>
  <c r="G75" i="3"/>
  <c r="G24" i="3"/>
  <c r="G17" i="3"/>
  <c r="G13" i="3"/>
  <c r="J18" i="2" l="1"/>
  <c r="G25" i="3" l="1"/>
  <c r="J15" i="2" l="1"/>
  <c r="G77" i="3" l="1"/>
  <c r="G43" i="3"/>
  <c r="G40" i="3"/>
  <c r="G38" i="3" l="1"/>
  <c r="G37" i="3"/>
  <c r="G34" i="3" l="1"/>
  <c r="G33" i="3"/>
  <c r="G31" i="3"/>
  <c r="G29" i="3"/>
  <c r="G28" i="3"/>
  <c r="G26" i="3" l="1"/>
  <c r="G27" i="3"/>
  <c r="G30" i="3"/>
  <c r="G32" i="3"/>
  <c r="G35" i="3"/>
  <c r="G36" i="3"/>
  <c r="G39" i="3"/>
  <c r="G41" i="3"/>
  <c r="G42" i="3"/>
  <c r="G76" i="3"/>
  <c r="G81" i="3"/>
  <c r="J13" i="2" l="1"/>
  <c r="J14" i="2"/>
  <c r="G12" i="3"/>
  <c r="G14" i="3"/>
  <c r="G15" i="3"/>
  <c r="G16" i="3"/>
  <c r="G18" i="3"/>
  <c r="G19" i="3"/>
  <c r="G20" i="3"/>
  <c r="G21" i="3"/>
  <c r="G22" i="3"/>
  <c r="G23" i="3"/>
  <c r="G11" i="3"/>
  <c r="J19" i="2" l="1"/>
  <c r="H20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s="1"/>
  <c r="G11" i="1" s="1"/>
  <c r="H11" i="1" l="1"/>
  <c r="I11" i="1" s="1"/>
  <c r="G20" i="2"/>
  <c r="G21" i="2" s="1"/>
</calcChain>
</file>

<file path=xl/sharedStrings.xml><?xml version="1.0" encoding="utf-8"?>
<sst xmlns="http://schemas.openxmlformats.org/spreadsheetml/2006/main" count="279" uniqueCount="84">
  <si>
    <t>CKP-T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</si>
  <si>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</si>
  <si>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</si>
  <si>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</si>
  <si>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</si>
  <si>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</si>
  <si>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</si>
  <si>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</si>
  <si>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</si>
  <si>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</si>
  <si>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</si>
  <si>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</si>
  <si>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</si>
  <si>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</si>
  <si>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</si>
  <si>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</si>
  <si>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</si>
  <si>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</si>
  <si>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</si>
  <si>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</si>
  <si>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</si>
  <si>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</si>
  <si>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</si>
  <si>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</si>
  <si>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</si>
  <si>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</si>
  <si>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</si>
  <si>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</si>
  <si>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</si>
  <si>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</si>
  <si>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dokumen</t>
  </si>
  <si>
    <t>Kode Butir Kegiatan</t>
  </si>
  <si>
    <t>Angka Kredit</t>
  </si>
  <si>
    <t>yel-yel pagi</t>
  </si>
  <si>
    <t>: Haidir Magribi</t>
  </si>
  <si>
    <t>: Integrasi Pengolahan dan Diseminasi Statistik</t>
  </si>
  <si>
    <t>Kegiatan</t>
  </si>
  <si>
    <t>Drs.H.Basiran Suwandi</t>
  </si>
  <si>
    <t>NIP. 196010051982031004</t>
  </si>
  <si>
    <t>NIP. 199310012016021001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</si>
  <si>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</si>
  <si>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</si>
  <si>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</si>
  <si>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</si>
  <si>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Haidir Magribi</t>
  </si>
  <si>
    <t>cek email IPDS dan BPS Bontang</t>
  </si>
  <si>
    <t>Jum'at</t>
  </si>
  <si>
    <t>Senin</t>
  </si>
  <si>
    <t>Selasa</t>
  </si>
  <si>
    <t>Melakukan Pengumpulan data SKD</t>
  </si>
  <si>
    <t>Dokumen</t>
  </si>
  <si>
    <t>II.B.1a</t>
  </si>
  <si>
    <t>TARGET KINERJA PEGAWAI TAHUN 2016</t>
  </si>
  <si>
    <t>CAPAIAN KINERJA PEGAWAI TAHUN 2016</t>
  </si>
  <si>
    <t>Melayani permintaan data</t>
  </si>
  <si>
    <t>Tanggal: 1 Juni 2016</t>
  </si>
  <si>
    <t>Tanggal:</t>
  </si>
  <si>
    <t>Kesepakatan Kinerja</t>
  </si>
  <si>
    <t>: Juni 2016</t>
  </si>
  <si>
    <t>18 Mei 2016</t>
  </si>
  <si>
    <t>Tanggal: 1 Juli 2016</t>
  </si>
  <si>
    <t>Merekap Absensi bulan Mei</t>
  </si>
  <si>
    <t>Membuat template Rekapan Absen</t>
  </si>
  <si>
    <t>Rabu</t>
  </si>
  <si>
    <t>Kamis</t>
  </si>
  <si>
    <t>Memperbaiki Rekap Absen bulan Mei</t>
  </si>
  <si>
    <t>Menulis Ulang Dokumen SE 2016 Pasar</t>
  </si>
  <si>
    <t>07-08/06/2016</t>
  </si>
  <si>
    <t>Pemeriksaan Dokumen SE (editor)</t>
  </si>
  <si>
    <t>Membantu bendahara mentrasfer gaji PML di Bank</t>
  </si>
  <si>
    <t>Merekap Under Coverege SE 2016 terhadap SE 2006</t>
  </si>
  <si>
    <t>Upload Penerimaan Dokumen SE20016 TU</t>
  </si>
  <si>
    <t>Periksa Kesehatan Untuk Diklat Prajabatan</t>
  </si>
  <si>
    <t>Merekap Dokumentasi SE 2016</t>
  </si>
  <si>
    <t>Mengirim Dokumentasi SE 2016</t>
  </si>
  <si>
    <t>Melakukan Pemeriksaan Dokumen SE 2016</t>
  </si>
  <si>
    <t>Melakukan Konsultasi Ubinan di Provinsi</t>
  </si>
  <si>
    <t>Upload penerimaan dokumen SE2016 TU</t>
  </si>
  <si>
    <t>Blok sensus</t>
  </si>
  <si>
    <t>Pertemuan</t>
  </si>
  <si>
    <t>III.B.1</t>
  </si>
  <si>
    <t>Upload Direktori Hotel dan Penginapan Kota Bontang 2016</t>
  </si>
  <si>
    <t>Publikasi</t>
  </si>
  <si>
    <t>DL konsultasi Ubinan Di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</si>
</sst>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36">
    <xf numFmtId="0" fontId="0" fillId="0" borderId="0" xfId="0"/>
    <xf numFmtId="0" fontId="4" fillId="0" borderId="0" xfId="0" applyFont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9" fontId="3" fillId="0" borderId="8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6" fillId="0" borderId="8" xfId="0" applyFont="1" applyFill="1" applyBorder="1" applyAlignment="1">
      <alignment vertical="center" wrapText="1"/>
    </xf>
    <xf numFmtId="0" fontId="0" fillId="0" borderId="0" xfId="0" applyFill="1"/>
    <xf numFmtId="164" fontId="0" fillId="0" borderId="8" xfId="0" applyNumberFormat="1" applyFont="1" applyBorder="1" applyAlignment="1">
      <alignment horizontal="center" vertical="center"/>
    </xf>
    <xf numFmtId="0" fontId="9" fillId="0" borderId="0" xfId="0" applyFont="1" applyFill="1"/>
    <xf numFmtId="9" fontId="6" fillId="0" borderId="8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8" xfId="0" applyBorder="1"/>
    <xf numFmtId="0" fontId="0" fillId="0" borderId="8" xfId="0" applyFont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/>
    <xf numFmtId="0" fontId="0" fillId="0" borderId="0" xfId="0" applyBorder="1" applyAlignment="1"/>
    <xf numFmtId="164" fontId="0" fillId="0" borderId="19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0" fontId="0" fillId="0" borderId="27" xfId="0" applyBorder="1"/>
    <xf numFmtId="43" fontId="0" fillId="0" borderId="8" xfId="8" applyFont="1" applyBorder="1"/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6" fillId="0" borderId="4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6" fillId="0" borderId="8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Border="1" applyAlignment="1">
      <alignment horizontal="left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6" fillId="0" borderId="21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6" fillId="0" borderId="21" xfId="0" applyNumberFormat="1" applyFont="1" applyBorder="1" applyAlignment="1">
      <alignment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Alignment="1">
      <alignment horizontal="center" vertical="center"/>
    </xf>
    <xf numFmtId="49" fontId="0" fillId="0" borderId="0" xfId="0" applyNumberFormat="1"/>
    <xf numFmtId="164" fontId="5" fillId="0" borderId="4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4" fontId="6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/>
    </xf>
    <xf numFmtId="164" fontId="6" fillId="0" borderId="8" xfId="0" applyNumberFormat="1" applyFont="1" applyBorder="1" applyAlignment="1">
      <alignment vertical="center"/>
    </xf>
    <xf numFmtId="2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4" fontId="6" fillId="0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14" fontId="6" fillId="0" borderId="8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2" fontId="5" fillId="0" borderId="26" xfId="0" applyNumberFormat="1" applyFont="1" applyBorder="1" applyAlignment="1">
      <alignment horizontal="center" vertical="center"/>
    </xf>
    <xf numFmtId="2" fontId="5" fillId="0" borderId="25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9">
    <cellStyle name="Comma" xfId="8" builtinId="3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view="pageBreakPreview" topLeftCell="A21" zoomScaleNormal="100" zoomScaleSheetLayoutView="100" workbookViewId="0">
      <selection activeCell="D16" sqref="D16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13.85546875" bestFit="1" customWidth="1"/>
    <col min="5" max="6" width="8.7109375" bestFit="1" customWidth="1"/>
    <col min="7" max="7" width="4.7109375" bestFit="1" customWidth="1"/>
    <col min="8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95" t="s">
        <v>0</v>
      </c>
      <c r="I2" s="96"/>
    </row>
    <row r="3" spans="1:9" ht="18.75" x14ac:dyDescent="0.3">
      <c r="A3" s="97" t="s">
        <v>52</v>
      </c>
      <c r="B3" s="97"/>
      <c r="C3" s="97"/>
      <c r="D3" s="97"/>
      <c r="E3" s="97"/>
      <c r="F3" s="97"/>
      <c r="G3" s="97"/>
      <c r="H3" s="97"/>
      <c r="I3" s="97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1</v>
      </c>
      <c r="C5" t="s">
        <v>2</v>
      </c>
    </row>
    <row r="6" spans="1:9" x14ac:dyDescent="0.25">
      <c r="A6" t="s">
        <v>3</v>
      </c>
      <c r="C6" s="12" t="s">
        <v>34</v>
      </c>
    </row>
    <row r="7" spans="1:9" x14ac:dyDescent="0.25">
      <c r="A7" t="s">
        <v>4</v>
      </c>
      <c r="C7" s="12" t="s">
        <v>35</v>
      </c>
    </row>
    <row r="8" spans="1:9" x14ac:dyDescent="0.25">
      <c r="A8" t="s">
        <v>5</v>
      </c>
      <c r="C8" t="s">
        <v>58</v>
      </c>
    </row>
    <row r="9" spans="1:9" x14ac:dyDescent="0.25">
      <c r="A9" s="98" t="s">
        <v>6</v>
      </c>
      <c r="B9" s="98" t="s">
        <v>7</v>
      </c>
      <c r="C9" s="98"/>
      <c r="D9" s="98" t="s">
        <v>8</v>
      </c>
      <c r="E9" s="98" t="s">
        <v>9</v>
      </c>
      <c r="F9" s="98"/>
      <c r="G9" s="98"/>
      <c r="H9" s="99" t="s">
        <v>10</v>
      </c>
      <c r="I9" s="98" t="s">
        <v>11</v>
      </c>
    </row>
    <row r="10" spans="1:9" x14ac:dyDescent="0.25">
      <c r="A10" s="98"/>
      <c r="B10" s="98"/>
      <c r="C10" s="98"/>
      <c r="D10" s="98"/>
      <c r="E10" s="80" t="s">
        <v>12</v>
      </c>
      <c r="F10" s="80" t="s">
        <v>13</v>
      </c>
      <c r="G10" s="80" t="s">
        <v>14</v>
      </c>
      <c r="H10" s="99"/>
      <c r="I10" s="98"/>
    </row>
    <row r="11" spans="1:9" x14ac:dyDescent="0.25">
      <c r="A11" s="79">
        <v>-1</v>
      </c>
      <c r="B11" s="100">
        <f>A11-1</f>
        <v>-2</v>
      </c>
      <c r="C11" s="100"/>
      <c r="D11" s="79">
        <f>B11-1</f>
        <v>-3</v>
      </c>
      <c r="E11" s="79">
        <f>D11-1</f>
        <v>-4</v>
      </c>
      <c r="F11" s="79">
        <f>E11-1</f>
        <v>-5</v>
      </c>
      <c r="G11" s="79">
        <f>F11-1</f>
        <v>-6</v>
      </c>
      <c r="H11" s="79">
        <f>G11-1</f>
        <v>-7</v>
      </c>
      <c r="I11" s="79">
        <f>H11-1</f>
        <v>-8</v>
      </c>
    </row>
    <row r="12" spans="1:9" ht="15" customHeight="1" x14ac:dyDescent="0.25">
      <c r="A12" s="80">
        <v>1</v>
      </c>
      <c r="B12" s="89" t="s">
        <v>54</v>
      </c>
      <c r="C12" s="89"/>
      <c r="D12" s="87" t="s">
        <v>36</v>
      </c>
      <c r="E12" s="80">
        <v>4</v>
      </c>
      <c r="F12" s="80">
        <v>4</v>
      </c>
      <c r="G12" s="87">
        <v>100</v>
      </c>
      <c r="H12" s="78"/>
      <c r="I12" s="78"/>
    </row>
    <row r="13" spans="1:9" ht="15" customHeight="1" x14ac:dyDescent="0.25">
      <c r="A13" s="80">
        <v>2</v>
      </c>
      <c r="B13" s="89" t="s">
        <v>49</v>
      </c>
      <c r="C13" s="89"/>
      <c r="D13" s="87" t="s">
        <v>50</v>
      </c>
      <c r="E13" s="80">
        <v>4</v>
      </c>
      <c r="F13" s="80">
        <v>4</v>
      </c>
      <c r="G13" s="87">
        <v>100</v>
      </c>
      <c r="H13" s="78"/>
      <c r="I13" s="78"/>
    </row>
    <row r="14" spans="1:9" ht="15" customHeight="1" x14ac:dyDescent="0.25">
      <c r="A14" s="80">
        <v>3</v>
      </c>
      <c r="B14" s="89" t="s">
        <v>75</v>
      </c>
      <c r="C14" s="89"/>
      <c r="D14" s="87" t="s">
        <v>50</v>
      </c>
      <c r="E14" s="80">
        <v>834</v>
      </c>
      <c r="F14" s="80">
        <v>834</v>
      </c>
      <c r="G14" s="87">
        <v>100</v>
      </c>
      <c r="H14" s="78"/>
      <c r="I14" s="78"/>
    </row>
    <row r="15" spans="1:9" ht="15" customHeight="1" x14ac:dyDescent="0.25">
      <c r="A15" s="80">
        <v>4</v>
      </c>
      <c r="B15" s="89" t="s">
        <v>76</v>
      </c>
      <c r="C15" s="89"/>
      <c r="D15" s="87" t="s">
        <v>79</v>
      </c>
      <c r="E15" s="80">
        <v>1</v>
      </c>
      <c r="F15" s="80">
        <v>1</v>
      </c>
      <c r="G15" s="87">
        <v>100</v>
      </c>
      <c r="H15" s="78"/>
      <c r="I15" s="78"/>
    </row>
    <row r="16" spans="1:9" ht="15" customHeight="1" x14ac:dyDescent="0.25">
      <c r="A16" s="80">
        <v>5</v>
      </c>
      <c r="B16" s="89" t="s">
        <v>81</v>
      </c>
      <c r="C16" s="89"/>
      <c r="D16" s="87" t="s">
        <v>82</v>
      </c>
      <c r="E16" s="80">
        <v>1</v>
      </c>
      <c r="F16" s="80">
        <v>1</v>
      </c>
      <c r="G16" s="87">
        <v>100</v>
      </c>
      <c r="H16" s="78"/>
      <c r="I16" s="78"/>
    </row>
    <row r="17" spans="1:9" ht="15" customHeight="1" x14ac:dyDescent="0.25">
      <c r="A17" s="80">
        <v>6</v>
      </c>
      <c r="B17" s="89" t="s">
        <v>77</v>
      </c>
      <c r="C17" s="89"/>
      <c r="D17" s="87" t="s">
        <v>78</v>
      </c>
      <c r="E17" s="80">
        <v>24</v>
      </c>
      <c r="F17" s="80">
        <v>24</v>
      </c>
      <c r="G17" s="87">
        <v>100</v>
      </c>
      <c r="H17" s="88"/>
      <c r="I17" s="33"/>
    </row>
    <row r="18" spans="1:9" ht="15" customHeight="1" x14ac:dyDescent="0.25">
      <c r="A18" s="83"/>
      <c r="B18" s="84"/>
      <c r="C18" s="84"/>
      <c r="D18" s="85"/>
      <c r="E18" s="83"/>
      <c r="F18" s="83"/>
      <c r="G18" s="85"/>
      <c r="H18" s="86"/>
      <c r="I18" s="51"/>
    </row>
    <row r="19" spans="1:9" ht="15" customHeight="1" x14ac:dyDescent="0.25">
      <c r="B19" s="5" t="s">
        <v>57</v>
      </c>
    </row>
    <row r="20" spans="1:9" x14ac:dyDescent="0.25">
      <c r="B20" t="s">
        <v>56</v>
      </c>
      <c r="C20" s="75" t="s">
        <v>59</v>
      </c>
    </row>
    <row r="22" spans="1:9" x14ac:dyDescent="0.25">
      <c r="A22" s="6"/>
      <c r="B22" s="92" t="s">
        <v>16</v>
      </c>
      <c r="C22" s="92"/>
      <c r="D22" s="6"/>
      <c r="F22" s="92" t="s">
        <v>17</v>
      </c>
      <c r="G22" s="92"/>
      <c r="H22" s="92"/>
    </row>
    <row r="23" spans="1:9" x14ac:dyDescent="0.25">
      <c r="A23" s="6"/>
      <c r="B23" s="92" t="s">
        <v>40</v>
      </c>
      <c r="C23" s="92"/>
      <c r="D23" s="92" t="s">
        <v>41</v>
      </c>
      <c r="E23" s="92"/>
      <c r="F23" s="92"/>
      <c r="G23" s="92"/>
      <c r="H23" s="92"/>
      <c r="I23" s="92"/>
    </row>
    <row r="24" spans="1:9" x14ac:dyDescent="0.25">
      <c r="A24" s="6"/>
      <c r="B24" s="18"/>
      <c r="C24" s="18"/>
      <c r="D24" s="6"/>
      <c r="E24" s="6"/>
      <c r="F24" s="9"/>
      <c r="G24" s="8"/>
      <c r="H24" s="16"/>
    </row>
    <row r="25" spans="1:9" x14ac:dyDescent="0.25">
      <c r="A25" s="6"/>
      <c r="B25" s="6"/>
      <c r="C25" s="7"/>
      <c r="D25" s="6"/>
      <c r="E25" s="6"/>
      <c r="F25" s="9"/>
      <c r="G25" s="8"/>
      <c r="H25" s="16"/>
    </row>
    <row r="26" spans="1:9" x14ac:dyDescent="0.25">
      <c r="A26" s="6"/>
      <c r="B26" s="6"/>
      <c r="D26" s="6"/>
      <c r="E26" s="6"/>
      <c r="F26" s="9"/>
      <c r="G26" s="8"/>
      <c r="H26" s="16"/>
    </row>
    <row r="27" spans="1:9" x14ac:dyDescent="0.25">
      <c r="A27" s="6"/>
      <c r="B27" s="93" t="s">
        <v>37</v>
      </c>
      <c r="C27" s="93"/>
      <c r="D27" s="6"/>
      <c r="E27" s="6"/>
      <c r="F27" s="90" t="s">
        <v>44</v>
      </c>
      <c r="G27" s="90"/>
      <c r="H27" s="90"/>
    </row>
    <row r="28" spans="1:9" ht="15" customHeight="1" x14ac:dyDescent="0.25">
      <c r="A28" s="6"/>
      <c r="B28" s="94" t="s">
        <v>38</v>
      </c>
      <c r="C28" s="94"/>
      <c r="D28" s="6"/>
      <c r="E28" s="6"/>
      <c r="F28" s="91" t="s">
        <v>39</v>
      </c>
      <c r="G28" s="91"/>
      <c r="H28" s="91"/>
    </row>
  </sheetData>
  <mergeCells count="23">
    <mergeCell ref="B16:C16"/>
    <mergeCell ref="B13:C13"/>
    <mergeCell ref="B15:C15"/>
    <mergeCell ref="B11:C11"/>
    <mergeCell ref="B12:C12"/>
    <mergeCell ref="B14:C14"/>
    <mergeCell ref="H2:I2"/>
    <mergeCell ref="A3:I3"/>
    <mergeCell ref="A9:A10"/>
    <mergeCell ref="B9:C10"/>
    <mergeCell ref="D9:D10"/>
    <mergeCell ref="E9:G9"/>
    <mergeCell ref="H9:H10"/>
    <mergeCell ref="I9:I10"/>
    <mergeCell ref="B17:C17"/>
    <mergeCell ref="F27:H27"/>
    <mergeCell ref="F28:H28"/>
    <mergeCell ref="B22:C22"/>
    <mergeCell ref="B23:C23"/>
    <mergeCell ref="B27:C27"/>
    <mergeCell ref="B28:C28"/>
    <mergeCell ref="D23:I23"/>
    <mergeCell ref="F22:H22"/>
  </mergeCells>
  <printOptions horizontalCentered="1"/>
  <pageMargins left="0.70866141732283472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3"/>
  <sheetViews>
    <sheetView tabSelected="1" view="pageBreakPreview" zoomScale="80" zoomScaleNormal="100" zoomScaleSheetLayoutView="80" workbookViewId="0">
      <selection activeCell="C25" sqref="C25"/>
    </sheetView>
  </sheetViews>
  <sheetFormatPr defaultRowHeight="15" x14ac:dyDescent="0.25"/>
  <cols>
    <col min="1" max="1" width="9.140625" style="59"/>
    <col min="2" max="2" width="14.140625" style="28" customWidth="1"/>
    <col min="3" max="3" width="54.85546875" bestFit="1" customWidth="1"/>
    <col min="4" max="4" width="12.85546875" bestFit="1" customWidth="1"/>
    <col min="5" max="5" width="6.5703125" customWidth="1"/>
    <col min="6" max="6" width="7.85546875" bestFit="1" customWidth="1"/>
    <col min="7" max="7" width="10.28515625" customWidth="1"/>
    <col min="8" max="8" width="10.42578125" customWidth="1"/>
  </cols>
  <sheetData>
    <row r="1" spans="1:19" ht="15.75" x14ac:dyDescent="0.25">
      <c r="B1" s="105" t="s">
        <v>21</v>
      </c>
      <c r="C1" s="105"/>
      <c r="D1" s="105"/>
      <c r="E1" s="105"/>
      <c r="F1" s="105"/>
      <c r="G1" s="105"/>
      <c r="H1" s="105"/>
    </row>
    <row r="2" spans="1:19" x14ac:dyDescent="0.25">
      <c r="B2" s="27"/>
      <c r="C2" s="10"/>
      <c r="D2" s="10"/>
      <c r="E2" s="9"/>
      <c r="F2" s="9"/>
      <c r="G2" s="11"/>
    </row>
    <row r="3" spans="1:19" x14ac:dyDescent="0.25">
      <c r="B3" s="12" t="s">
        <v>22</v>
      </c>
      <c r="C3" t="s">
        <v>2</v>
      </c>
      <c r="D3" s="12"/>
      <c r="E3" s="9"/>
      <c r="F3" s="9"/>
      <c r="G3" s="11"/>
    </row>
    <row r="4" spans="1:19" x14ac:dyDescent="0.25">
      <c r="B4" s="12" t="s">
        <v>3</v>
      </c>
      <c r="C4" s="12" t="s">
        <v>34</v>
      </c>
      <c r="D4" s="12"/>
      <c r="E4" s="9"/>
      <c r="F4" s="9"/>
      <c r="G4" s="11"/>
    </row>
    <row r="5" spans="1:19" x14ac:dyDescent="0.25">
      <c r="B5" s="12" t="s">
        <v>23</v>
      </c>
      <c r="C5" s="12" t="s">
        <v>35</v>
      </c>
      <c r="D5" s="12"/>
      <c r="E5" s="9"/>
      <c r="F5" s="9"/>
      <c r="G5" s="11"/>
    </row>
    <row r="6" spans="1:19" x14ac:dyDescent="0.25">
      <c r="B6" s="12" t="s">
        <v>5</v>
      </c>
      <c r="C6" s="13" t="s">
        <v>58</v>
      </c>
      <c r="D6" s="13"/>
      <c r="E6" s="9"/>
      <c r="F6" s="9"/>
      <c r="G6" s="11"/>
    </row>
    <row r="7" spans="1:19" x14ac:dyDescent="0.25">
      <c r="B7" s="27"/>
      <c r="C7" s="10"/>
      <c r="D7" s="10"/>
      <c r="E7" s="9"/>
      <c r="F7" s="9"/>
      <c r="G7" s="11"/>
    </row>
    <row r="8" spans="1:19" x14ac:dyDescent="0.25">
      <c r="A8" s="103" t="s">
        <v>24</v>
      </c>
      <c r="B8" s="103"/>
      <c r="C8" s="99" t="s">
        <v>25</v>
      </c>
      <c r="D8" s="99" t="s">
        <v>26</v>
      </c>
      <c r="E8" s="99" t="s">
        <v>27</v>
      </c>
      <c r="F8" s="106" t="s">
        <v>13</v>
      </c>
      <c r="G8" s="106"/>
      <c r="H8" s="107" t="s">
        <v>11</v>
      </c>
    </row>
    <row r="9" spans="1:19" x14ac:dyDescent="0.25">
      <c r="A9" s="103"/>
      <c r="B9" s="103"/>
      <c r="C9" s="99"/>
      <c r="D9" s="99"/>
      <c r="E9" s="99"/>
      <c r="F9" s="14" t="s">
        <v>28</v>
      </c>
      <c r="G9" s="15" t="s">
        <v>14</v>
      </c>
      <c r="H9" s="107"/>
      <c r="N9" s="20"/>
      <c r="O9" s="20"/>
      <c r="P9" s="20"/>
      <c r="Q9" s="20"/>
      <c r="R9" s="20"/>
      <c r="S9" s="20"/>
    </row>
    <row r="10" spans="1:19" s="25" customFormat="1" x14ac:dyDescent="0.25">
      <c r="A10" s="104">
        <v>-1</v>
      </c>
      <c r="B10" s="104"/>
      <c r="C10" s="21">
        <v>-2</v>
      </c>
      <c r="D10" s="21">
        <v>-3</v>
      </c>
      <c r="E10" s="21">
        <v>-4</v>
      </c>
      <c r="F10" s="21">
        <v>-5</v>
      </c>
      <c r="G10" s="21">
        <v>-6</v>
      </c>
      <c r="H10" s="21">
        <v>-7</v>
      </c>
      <c r="N10" s="26"/>
      <c r="O10" s="26"/>
      <c r="P10" s="26"/>
      <c r="Q10" s="26"/>
      <c r="R10" s="26"/>
      <c r="S10" s="26"/>
    </row>
    <row r="11" spans="1:19" s="25" customFormat="1" x14ac:dyDescent="0.25">
      <c r="A11" s="101" t="s">
        <v>63</v>
      </c>
      <c r="B11" s="108">
        <v>42522</v>
      </c>
      <c r="C11" s="19" t="s">
        <v>33</v>
      </c>
      <c r="D11" s="77" t="s">
        <v>29</v>
      </c>
      <c r="E11" s="57">
        <v>1</v>
      </c>
      <c r="F11" s="57">
        <v>1</v>
      </c>
      <c r="G11" s="23">
        <f t="shared" ref="G11:G81" si="0">F11/E11</f>
        <v>1</v>
      </c>
      <c r="H11" s="21"/>
      <c r="N11" s="26"/>
      <c r="O11" s="26"/>
      <c r="P11" s="26"/>
      <c r="Q11" s="26"/>
      <c r="R11" s="26"/>
      <c r="S11" s="26"/>
    </row>
    <row r="12" spans="1:19" s="25" customFormat="1" x14ac:dyDescent="0.25">
      <c r="A12" s="101"/>
      <c r="B12" s="108"/>
      <c r="C12" s="19" t="s">
        <v>45</v>
      </c>
      <c r="D12" s="77" t="s">
        <v>29</v>
      </c>
      <c r="E12" s="21">
        <v>1</v>
      </c>
      <c r="F12" s="21">
        <v>1</v>
      </c>
      <c r="G12" s="23">
        <f t="shared" si="0"/>
        <v>1</v>
      </c>
      <c r="H12" s="21"/>
      <c r="N12" s="26"/>
      <c r="O12" s="26"/>
      <c r="P12" s="26"/>
      <c r="Q12" s="26"/>
      <c r="R12" s="26"/>
      <c r="S12" s="26"/>
    </row>
    <row r="13" spans="1:19" s="25" customFormat="1" x14ac:dyDescent="0.25">
      <c r="A13" s="101"/>
      <c r="B13" s="108"/>
      <c r="C13" s="19" t="s">
        <v>62</v>
      </c>
      <c r="D13" s="77" t="s">
        <v>29</v>
      </c>
      <c r="E13" s="21">
        <v>1</v>
      </c>
      <c r="F13" s="21">
        <v>1</v>
      </c>
      <c r="G13" s="23">
        <f t="shared" ref="G13" si="1">F13/E13</f>
        <v>1</v>
      </c>
      <c r="H13" s="21"/>
      <c r="N13" s="26"/>
      <c r="O13" s="26"/>
      <c r="P13" s="26"/>
      <c r="Q13" s="26"/>
      <c r="R13" s="26"/>
      <c r="S13" s="26"/>
    </row>
    <row r="14" spans="1:19" s="22" customFormat="1" x14ac:dyDescent="0.25">
      <c r="A14" s="101"/>
      <c r="B14" s="108"/>
      <c r="C14" s="19" t="s">
        <v>61</v>
      </c>
      <c r="D14" s="77" t="s">
        <v>29</v>
      </c>
      <c r="E14" s="58">
        <v>1</v>
      </c>
      <c r="F14" s="58">
        <v>1</v>
      </c>
      <c r="G14" s="23">
        <f t="shared" si="0"/>
        <v>1</v>
      </c>
      <c r="H14" s="35"/>
    </row>
    <row r="15" spans="1:19" s="22" customFormat="1" x14ac:dyDescent="0.25">
      <c r="A15" s="101" t="s">
        <v>64</v>
      </c>
      <c r="B15" s="108">
        <v>42523</v>
      </c>
      <c r="C15" s="19" t="s">
        <v>33</v>
      </c>
      <c r="D15" s="77" t="s">
        <v>29</v>
      </c>
      <c r="E15" s="57">
        <v>1</v>
      </c>
      <c r="F15" s="57">
        <v>1</v>
      </c>
      <c r="G15" s="23">
        <f t="shared" si="0"/>
        <v>1</v>
      </c>
      <c r="H15" s="36"/>
    </row>
    <row r="16" spans="1:19" s="20" customFormat="1" x14ac:dyDescent="0.25">
      <c r="A16" s="101"/>
      <c r="B16" s="108"/>
      <c r="C16" s="19" t="s">
        <v>45</v>
      </c>
      <c r="D16" s="77" t="s">
        <v>29</v>
      </c>
      <c r="E16" s="57">
        <v>1</v>
      </c>
      <c r="F16" s="57">
        <v>1</v>
      </c>
      <c r="G16" s="23">
        <f t="shared" si="0"/>
        <v>1</v>
      </c>
      <c r="H16" s="36"/>
    </row>
    <row r="17" spans="1:8" s="20" customFormat="1" x14ac:dyDescent="0.25">
      <c r="A17" s="101"/>
      <c r="B17" s="108"/>
      <c r="C17" s="19" t="s">
        <v>65</v>
      </c>
      <c r="D17" s="77" t="s">
        <v>29</v>
      </c>
      <c r="E17" s="57">
        <v>1</v>
      </c>
      <c r="F17" s="57">
        <v>1</v>
      </c>
      <c r="G17" s="23">
        <f t="shared" ref="G17" si="2">F17/E17</f>
        <v>1</v>
      </c>
      <c r="H17" s="36"/>
    </row>
    <row r="18" spans="1:8" s="20" customFormat="1" x14ac:dyDescent="0.25">
      <c r="A18" s="101"/>
      <c r="B18" s="108"/>
      <c r="C18" s="19" t="s">
        <v>54</v>
      </c>
      <c r="D18" s="77" t="s">
        <v>29</v>
      </c>
      <c r="E18" s="57">
        <v>1</v>
      </c>
      <c r="F18" s="57">
        <v>1</v>
      </c>
      <c r="G18" s="23">
        <f t="shared" si="0"/>
        <v>1</v>
      </c>
      <c r="H18" s="36"/>
    </row>
    <row r="19" spans="1:8" x14ac:dyDescent="0.25">
      <c r="A19" s="101" t="s">
        <v>46</v>
      </c>
      <c r="B19" s="108">
        <v>42524</v>
      </c>
      <c r="C19" s="19" t="s">
        <v>33</v>
      </c>
      <c r="D19" s="77" t="s">
        <v>29</v>
      </c>
      <c r="E19" s="57">
        <v>1</v>
      </c>
      <c r="F19" s="57">
        <v>1</v>
      </c>
      <c r="G19" s="23">
        <f t="shared" si="0"/>
        <v>1</v>
      </c>
      <c r="H19" s="36"/>
    </row>
    <row r="20" spans="1:8" x14ac:dyDescent="0.25">
      <c r="A20" s="101"/>
      <c r="B20" s="108"/>
      <c r="C20" s="19" t="s">
        <v>45</v>
      </c>
      <c r="D20" s="77" t="s">
        <v>29</v>
      </c>
      <c r="E20" s="57">
        <v>1</v>
      </c>
      <c r="F20" s="57">
        <v>1</v>
      </c>
      <c r="G20" s="23">
        <f t="shared" si="0"/>
        <v>1</v>
      </c>
      <c r="H20" s="36"/>
    </row>
    <row r="21" spans="1:8" x14ac:dyDescent="0.25">
      <c r="A21" s="101"/>
      <c r="B21" s="108"/>
      <c r="C21" s="19" t="s">
        <v>66</v>
      </c>
      <c r="D21" s="77" t="s">
        <v>29</v>
      </c>
      <c r="E21" s="57">
        <v>1</v>
      </c>
      <c r="F21" s="57">
        <v>1</v>
      </c>
      <c r="G21" s="23">
        <f t="shared" si="0"/>
        <v>1</v>
      </c>
      <c r="H21" s="36"/>
    </row>
    <row r="22" spans="1:8" x14ac:dyDescent="0.25">
      <c r="A22" s="101" t="s">
        <v>47</v>
      </c>
      <c r="B22" s="108">
        <v>42527</v>
      </c>
      <c r="C22" s="19" t="s">
        <v>45</v>
      </c>
      <c r="D22" s="77" t="s">
        <v>29</v>
      </c>
      <c r="E22" s="57">
        <v>1</v>
      </c>
      <c r="F22" s="57">
        <v>1</v>
      </c>
      <c r="G22" s="23">
        <f t="shared" si="0"/>
        <v>1</v>
      </c>
      <c r="H22" s="36"/>
    </row>
    <row r="23" spans="1:8" x14ac:dyDescent="0.25">
      <c r="A23" s="101"/>
      <c r="B23" s="108"/>
      <c r="C23" s="19" t="s">
        <v>33</v>
      </c>
      <c r="D23" s="77" t="s">
        <v>29</v>
      </c>
      <c r="E23" s="57">
        <v>1</v>
      </c>
      <c r="F23" s="57">
        <v>1</v>
      </c>
      <c r="G23" s="23">
        <f t="shared" si="0"/>
        <v>1</v>
      </c>
      <c r="H23" s="36"/>
    </row>
    <row r="24" spans="1:8" x14ac:dyDescent="0.25">
      <c r="A24" s="101"/>
      <c r="B24" s="108"/>
      <c r="C24" s="19" t="s">
        <v>66</v>
      </c>
      <c r="D24" s="77" t="s">
        <v>29</v>
      </c>
      <c r="E24" s="57">
        <v>1</v>
      </c>
      <c r="F24" s="57">
        <v>1</v>
      </c>
      <c r="G24" s="23">
        <f t="shared" ref="G24" si="3">F24/E24</f>
        <v>1</v>
      </c>
      <c r="H24" s="36"/>
    </row>
    <row r="25" spans="1:8" x14ac:dyDescent="0.25">
      <c r="A25" s="102" t="s">
        <v>67</v>
      </c>
      <c r="B25" s="101"/>
      <c r="C25" s="19" t="s">
        <v>83</v>
      </c>
      <c r="D25" s="77" t="s">
        <v>29</v>
      </c>
      <c r="E25" s="57">
        <v>1</v>
      </c>
      <c r="F25" s="57">
        <v>1</v>
      </c>
      <c r="G25" s="23">
        <f t="shared" si="0"/>
        <v>1</v>
      </c>
      <c r="H25" s="76"/>
    </row>
    <row r="26" spans="1:8" x14ac:dyDescent="0.25">
      <c r="A26" s="101" t="s">
        <v>64</v>
      </c>
      <c r="B26" s="108">
        <v>42530</v>
      </c>
      <c r="C26" s="19" t="s">
        <v>45</v>
      </c>
      <c r="D26" s="77" t="s">
        <v>36</v>
      </c>
      <c r="E26" s="57">
        <v>1</v>
      </c>
      <c r="F26" s="57">
        <v>1</v>
      </c>
      <c r="G26" s="23">
        <f t="shared" si="0"/>
        <v>1</v>
      </c>
      <c r="H26" s="53"/>
    </row>
    <row r="27" spans="1:8" x14ac:dyDescent="0.25">
      <c r="A27" s="101"/>
      <c r="B27" s="108"/>
      <c r="C27" s="19" t="s">
        <v>33</v>
      </c>
      <c r="D27" s="77" t="s">
        <v>36</v>
      </c>
      <c r="E27" s="57">
        <v>1</v>
      </c>
      <c r="F27" s="57">
        <v>1</v>
      </c>
      <c r="G27" s="23">
        <f t="shared" si="0"/>
        <v>1</v>
      </c>
      <c r="H27" s="54"/>
    </row>
    <row r="28" spans="1:8" x14ac:dyDescent="0.25">
      <c r="A28" s="101"/>
      <c r="B28" s="108"/>
      <c r="C28" s="19" t="s">
        <v>68</v>
      </c>
      <c r="D28" s="77" t="s">
        <v>29</v>
      </c>
      <c r="E28" s="57">
        <v>1</v>
      </c>
      <c r="F28" s="57">
        <v>1</v>
      </c>
      <c r="G28" s="23">
        <f t="shared" si="0"/>
        <v>1</v>
      </c>
      <c r="H28" s="54"/>
    </row>
    <row r="29" spans="1:8" x14ac:dyDescent="0.25">
      <c r="A29" s="101" t="s">
        <v>47</v>
      </c>
      <c r="B29" s="108">
        <v>42533</v>
      </c>
      <c r="C29" s="19" t="s">
        <v>54</v>
      </c>
      <c r="D29" s="77" t="s">
        <v>29</v>
      </c>
      <c r="E29" s="57">
        <v>1</v>
      </c>
      <c r="F29" s="57">
        <v>1</v>
      </c>
      <c r="G29" s="23">
        <f>F29/E29</f>
        <v>1</v>
      </c>
      <c r="H29" s="36"/>
    </row>
    <row r="30" spans="1:8" x14ac:dyDescent="0.25">
      <c r="A30" s="101"/>
      <c r="B30" s="108"/>
      <c r="C30" s="19" t="s">
        <v>45</v>
      </c>
      <c r="D30" s="77" t="s">
        <v>29</v>
      </c>
      <c r="E30" s="57">
        <v>1</v>
      </c>
      <c r="F30" s="57">
        <v>1</v>
      </c>
      <c r="G30" s="23">
        <f t="shared" si="0"/>
        <v>1</v>
      </c>
      <c r="H30" s="36"/>
    </row>
    <row r="31" spans="1:8" x14ac:dyDescent="0.25">
      <c r="A31" s="101"/>
      <c r="B31" s="108"/>
      <c r="C31" s="19" t="s">
        <v>68</v>
      </c>
      <c r="D31" s="77" t="s">
        <v>29</v>
      </c>
      <c r="E31" s="57">
        <v>1</v>
      </c>
      <c r="F31" s="57">
        <v>1</v>
      </c>
      <c r="G31" s="23">
        <f>F31/E31</f>
        <v>1</v>
      </c>
      <c r="H31" s="36"/>
    </row>
    <row r="32" spans="1:8" x14ac:dyDescent="0.25">
      <c r="A32" s="101" t="s">
        <v>48</v>
      </c>
      <c r="B32" s="108">
        <v>42534</v>
      </c>
      <c r="C32" s="19" t="s">
        <v>45</v>
      </c>
      <c r="D32" s="77" t="s">
        <v>29</v>
      </c>
      <c r="E32" s="57">
        <v>1</v>
      </c>
      <c r="F32" s="57">
        <v>1</v>
      </c>
      <c r="G32" s="23">
        <f t="shared" si="0"/>
        <v>1</v>
      </c>
      <c r="H32" s="36"/>
    </row>
    <row r="33" spans="1:8" x14ac:dyDescent="0.25">
      <c r="A33" s="101"/>
      <c r="B33" s="108"/>
      <c r="C33" s="19" t="s">
        <v>33</v>
      </c>
      <c r="D33" s="77" t="s">
        <v>29</v>
      </c>
      <c r="E33" s="57">
        <v>1</v>
      </c>
      <c r="F33" s="57">
        <v>1</v>
      </c>
      <c r="G33" s="23">
        <f>F33/E33</f>
        <v>1</v>
      </c>
      <c r="H33" s="36"/>
    </row>
    <row r="34" spans="1:8" x14ac:dyDescent="0.25">
      <c r="A34" s="101"/>
      <c r="B34" s="108"/>
      <c r="C34" s="19" t="s">
        <v>68</v>
      </c>
      <c r="D34" s="77" t="s">
        <v>29</v>
      </c>
      <c r="E34" s="57">
        <v>1</v>
      </c>
      <c r="F34" s="57">
        <v>1</v>
      </c>
      <c r="G34" s="23">
        <f>F34/E34</f>
        <v>1</v>
      </c>
      <c r="H34" s="36"/>
    </row>
    <row r="35" spans="1:8" x14ac:dyDescent="0.25">
      <c r="A35" s="101" t="s">
        <v>63</v>
      </c>
      <c r="B35" s="108">
        <v>42535</v>
      </c>
      <c r="C35" s="19" t="s">
        <v>45</v>
      </c>
      <c r="D35" s="77" t="s">
        <v>29</v>
      </c>
      <c r="E35" s="57">
        <v>1</v>
      </c>
      <c r="F35" s="57">
        <v>1</v>
      </c>
      <c r="G35" s="23">
        <f t="shared" si="0"/>
        <v>1</v>
      </c>
      <c r="H35" s="35"/>
    </row>
    <row r="36" spans="1:8" x14ac:dyDescent="0.25">
      <c r="A36" s="101"/>
      <c r="B36" s="108"/>
      <c r="C36" s="19" t="s">
        <v>33</v>
      </c>
      <c r="D36" s="77" t="s">
        <v>29</v>
      </c>
      <c r="E36" s="57">
        <v>1</v>
      </c>
      <c r="F36" s="57">
        <v>1</v>
      </c>
      <c r="G36" s="23">
        <f t="shared" si="0"/>
        <v>1</v>
      </c>
      <c r="H36" s="35"/>
    </row>
    <row r="37" spans="1:8" x14ac:dyDescent="0.25">
      <c r="A37" s="101"/>
      <c r="B37" s="108"/>
      <c r="C37" s="19" t="s">
        <v>68</v>
      </c>
      <c r="D37" s="77" t="s">
        <v>29</v>
      </c>
      <c r="E37" s="57">
        <v>1</v>
      </c>
      <c r="F37" s="57">
        <v>1</v>
      </c>
      <c r="G37" s="23">
        <f>F37/E37</f>
        <v>1</v>
      </c>
      <c r="H37" s="35"/>
    </row>
    <row r="38" spans="1:8" x14ac:dyDescent="0.25">
      <c r="A38" s="101" t="s">
        <v>64</v>
      </c>
      <c r="B38" s="108">
        <v>42536</v>
      </c>
      <c r="C38" s="19" t="s">
        <v>45</v>
      </c>
      <c r="D38" s="77" t="s">
        <v>29</v>
      </c>
      <c r="E38" s="57">
        <v>1</v>
      </c>
      <c r="F38" s="57">
        <v>1</v>
      </c>
      <c r="G38" s="23">
        <f>F38/E38</f>
        <v>1</v>
      </c>
      <c r="H38" s="35"/>
    </row>
    <row r="39" spans="1:8" x14ac:dyDescent="0.25">
      <c r="A39" s="101"/>
      <c r="B39" s="108"/>
      <c r="C39" s="19" t="s">
        <v>33</v>
      </c>
      <c r="D39" s="77" t="s">
        <v>29</v>
      </c>
      <c r="E39" s="57">
        <v>1</v>
      </c>
      <c r="F39" s="57">
        <v>1</v>
      </c>
      <c r="G39" s="23">
        <f t="shared" si="0"/>
        <v>1</v>
      </c>
      <c r="H39" s="35"/>
    </row>
    <row r="40" spans="1:8" x14ac:dyDescent="0.25">
      <c r="A40" s="101"/>
      <c r="B40" s="108"/>
      <c r="C40" s="19" t="s">
        <v>68</v>
      </c>
      <c r="D40" s="77" t="s">
        <v>29</v>
      </c>
      <c r="E40" s="57">
        <v>1</v>
      </c>
      <c r="F40" s="57">
        <v>1</v>
      </c>
      <c r="G40" s="23">
        <f>F40/E40</f>
        <v>1</v>
      </c>
      <c r="H40" s="35"/>
    </row>
    <row r="41" spans="1:8" x14ac:dyDescent="0.25">
      <c r="A41" s="101" t="s">
        <v>46</v>
      </c>
      <c r="B41" s="108">
        <v>42537</v>
      </c>
      <c r="C41" s="19" t="s">
        <v>45</v>
      </c>
      <c r="D41" s="77" t="s">
        <v>30</v>
      </c>
      <c r="E41" s="57">
        <v>2</v>
      </c>
      <c r="F41" s="57">
        <v>2</v>
      </c>
      <c r="G41" s="23">
        <f t="shared" si="0"/>
        <v>1</v>
      </c>
      <c r="H41" s="35"/>
    </row>
    <row r="42" spans="1:8" x14ac:dyDescent="0.25">
      <c r="A42" s="101"/>
      <c r="B42" s="108"/>
      <c r="C42" s="19" t="s">
        <v>33</v>
      </c>
      <c r="D42" s="77" t="s">
        <v>29</v>
      </c>
      <c r="E42" s="57">
        <v>1</v>
      </c>
      <c r="F42" s="57">
        <v>1</v>
      </c>
      <c r="G42" s="23">
        <f t="shared" si="0"/>
        <v>1</v>
      </c>
      <c r="H42" s="35"/>
    </row>
    <row r="43" spans="1:8" x14ac:dyDescent="0.25">
      <c r="A43" s="101"/>
      <c r="B43" s="108"/>
      <c r="C43" s="19" t="s">
        <v>68</v>
      </c>
      <c r="D43" s="77" t="s">
        <v>29</v>
      </c>
      <c r="E43" s="57">
        <v>1</v>
      </c>
      <c r="F43" s="57">
        <v>1</v>
      </c>
      <c r="G43" s="23">
        <f>F43/E43</f>
        <v>1</v>
      </c>
      <c r="H43" s="82"/>
    </row>
    <row r="44" spans="1:8" x14ac:dyDescent="0.25">
      <c r="A44" s="101" t="s">
        <v>47</v>
      </c>
      <c r="B44" s="102">
        <v>42541</v>
      </c>
      <c r="C44" s="19" t="s">
        <v>45</v>
      </c>
      <c r="D44" s="77" t="s">
        <v>29</v>
      </c>
      <c r="E44" s="57">
        <v>1</v>
      </c>
      <c r="F44" s="57">
        <v>1</v>
      </c>
      <c r="G44" s="23">
        <f t="shared" ref="G44:G74" si="4">F44/E44</f>
        <v>1</v>
      </c>
      <c r="H44" s="35"/>
    </row>
    <row r="45" spans="1:8" x14ac:dyDescent="0.25">
      <c r="A45" s="101"/>
      <c r="B45" s="101"/>
      <c r="C45" s="19" t="s">
        <v>33</v>
      </c>
      <c r="D45" s="77" t="s">
        <v>29</v>
      </c>
      <c r="E45" s="57">
        <v>1</v>
      </c>
      <c r="F45" s="57">
        <v>1</v>
      </c>
      <c r="G45" s="23">
        <f t="shared" si="4"/>
        <v>1</v>
      </c>
      <c r="H45" s="35"/>
    </row>
    <row r="46" spans="1:8" x14ac:dyDescent="0.25">
      <c r="A46" s="101"/>
      <c r="B46" s="101"/>
      <c r="C46" s="19" t="s">
        <v>68</v>
      </c>
      <c r="D46" s="77" t="s">
        <v>29</v>
      </c>
      <c r="E46" s="57">
        <v>1</v>
      </c>
      <c r="F46" s="57">
        <v>1</v>
      </c>
      <c r="G46" s="23">
        <f t="shared" si="4"/>
        <v>1</v>
      </c>
      <c r="H46" s="35"/>
    </row>
    <row r="47" spans="1:8" x14ac:dyDescent="0.25">
      <c r="A47" s="101"/>
      <c r="B47" s="101"/>
      <c r="C47" s="19" t="s">
        <v>54</v>
      </c>
      <c r="D47" s="77" t="s">
        <v>29</v>
      </c>
      <c r="E47" s="57">
        <v>1</v>
      </c>
      <c r="F47" s="57">
        <v>1</v>
      </c>
      <c r="G47" s="23">
        <f t="shared" si="4"/>
        <v>1</v>
      </c>
      <c r="H47" s="82"/>
    </row>
    <row r="48" spans="1:8" x14ac:dyDescent="0.25">
      <c r="A48" s="101" t="s">
        <v>48</v>
      </c>
      <c r="B48" s="102">
        <v>42542</v>
      </c>
      <c r="C48" s="19" t="s">
        <v>45</v>
      </c>
      <c r="D48" s="77" t="s">
        <v>29</v>
      </c>
      <c r="E48" s="57">
        <v>1</v>
      </c>
      <c r="F48" s="57">
        <v>1</v>
      </c>
      <c r="G48" s="23">
        <f t="shared" si="4"/>
        <v>1</v>
      </c>
      <c r="H48" s="35"/>
    </row>
    <row r="49" spans="1:8" x14ac:dyDescent="0.25">
      <c r="A49" s="101"/>
      <c r="B49" s="101"/>
      <c r="C49" s="19" t="s">
        <v>33</v>
      </c>
      <c r="D49" s="77" t="s">
        <v>29</v>
      </c>
      <c r="E49" s="57">
        <v>1</v>
      </c>
      <c r="F49" s="57">
        <v>1</v>
      </c>
      <c r="G49" s="23">
        <f t="shared" si="4"/>
        <v>1</v>
      </c>
      <c r="H49" s="35"/>
    </row>
    <row r="50" spans="1:8" x14ac:dyDescent="0.25">
      <c r="A50" s="101"/>
      <c r="B50" s="101"/>
      <c r="C50" s="19" t="s">
        <v>69</v>
      </c>
      <c r="D50" s="77" t="s">
        <v>29</v>
      </c>
      <c r="E50" s="57">
        <v>1</v>
      </c>
      <c r="F50" s="57">
        <v>1</v>
      </c>
      <c r="G50" s="23">
        <f t="shared" si="4"/>
        <v>1</v>
      </c>
      <c r="H50" s="35"/>
    </row>
    <row r="51" spans="1:8" x14ac:dyDescent="0.25">
      <c r="A51" s="101"/>
      <c r="B51" s="101"/>
      <c r="C51" s="19" t="s">
        <v>68</v>
      </c>
      <c r="D51" s="77" t="s">
        <v>29</v>
      </c>
      <c r="E51" s="57">
        <v>1</v>
      </c>
      <c r="F51" s="57">
        <v>1</v>
      </c>
      <c r="G51" s="23">
        <f t="shared" si="4"/>
        <v>1</v>
      </c>
      <c r="H51" s="35"/>
    </row>
    <row r="52" spans="1:8" x14ac:dyDescent="0.25">
      <c r="A52" s="101" t="s">
        <v>63</v>
      </c>
      <c r="B52" s="102">
        <v>42543</v>
      </c>
      <c r="C52" s="19" t="s">
        <v>45</v>
      </c>
      <c r="D52" s="77" t="s">
        <v>29</v>
      </c>
      <c r="E52" s="57">
        <v>1</v>
      </c>
      <c r="F52" s="57">
        <v>1</v>
      </c>
      <c r="G52" s="23">
        <f t="shared" si="4"/>
        <v>1</v>
      </c>
      <c r="H52" s="35"/>
    </row>
    <row r="53" spans="1:8" x14ac:dyDescent="0.25">
      <c r="A53" s="101"/>
      <c r="B53" s="101"/>
      <c r="C53" s="19" t="s">
        <v>33</v>
      </c>
      <c r="D53" s="77" t="s">
        <v>29</v>
      </c>
      <c r="E53" s="57">
        <v>1</v>
      </c>
      <c r="F53" s="57">
        <v>1</v>
      </c>
      <c r="G53" s="23">
        <f t="shared" si="4"/>
        <v>1</v>
      </c>
      <c r="H53" s="35"/>
    </row>
    <row r="54" spans="1:8" x14ac:dyDescent="0.25">
      <c r="A54" s="101"/>
      <c r="B54" s="101"/>
      <c r="C54" s="19" t="s">
        <v>68</v>
      </c>
      <c r="D54" s="77" t="s">
        <v>29</v>
      </c>
      <c r="E54" s="57">
        <v>1</v>
      </c>
      <c r="F54" s="57">
        <v>1</v>
      </c>
      <c r="G54" s="23">
        <f t="shared" si="4"/>
        <v>1</v>
      </c>
      <c r="H54" s="35"/>
    </row>
    <row r="55" spans="1:8" x14ac:dyDescent="0.25">
      <c r="A55" s="101"/>
      <c r="B55" s="101"/>
      <c r="C55" s="19" t="s">
        <v>70</v>
      </c>
      <c r="D55" s="77" t="s">
        <v>29</v>
      </c>
      <c r="E55" s="57">
        <v>1</v>
      </c>
      <c r="F55" s="57">
        <v>1</v>
      </c>
      <c r="G55" s="23">
        <f t="shared" si="4"/>
        <v>1</v>
      </c>
      <c r="H55" s="35"/>
    </row>
    <row r="56" spans="1:8" x14ac:dyDescent="0.25">
      <c r="A56" s="101"/>
      <c r="B56" s="101"/>
      <c r="C56" s="19" t="s">
        <v>54</v>
      </c>
      <c r="D56" s="77" t="s">
        <v>29</v>
      </c>
      <c r="E56" s="57">
        <v>1</v>
      </c>
      <c r="F56" s="57">
        <v>1</v>
      </c>
      <c r="G56" s="23">
        <f t="shared" si="4"/>
        <v>1</v>
      </c>
      <c r="H56" s="35"/>
    </row>
    <row r="57" spans="1:8" x14ac:dyDescent="0.25">
      <c r="A57" s="101" t="s">
        <v>64</v>
      </c>
      <c r="B57" s="102">
        <v>42544</v>
      </c>
      <c r="C57" s="19" t="s">
        <v>45</v>
      </c>
      <c r="D57" s="77" t="s">
        <v>29</v>
      </c>
      <c r="E57" s="57">
        <v>1</v>
      </c>
      <c r="F57" s="57">
        <v>1</v>
      </c>
      <c r="G57" s="23">
        <f t="shared" si="4"/>
        <v>1</v>
      </c>
      <c r="H57" s="35"/>
    </row>
    <row r="58" spans="1:8" x14ac:dyDescent="0.25">
      <c r="A58" s="101"/>
      <c r="B58" s="101"/>
      <c r="C58" s="19" t="s">
        <v>33</v>
      </c>
      <c r="D58" s="77" t="s">
        <v>29</v>
      </c>
      <c r="E58" s="57">
        <v>1</v>
      </c>
      <c r="F58" s="57">
        <v>1</v>
      </c>
      <c r="G58" s="23">
        <f t="shared" si="4"/>
        <v>1</v>
      </c>
      <c r="H58" s="35"/>
    </row>
    <row r="59" spans="1:8" x14ac:dyDescent="0.25">
      <c r="A59" s="101"/>
      <c r="B59" s="101"/>
      <c r="C59" s="19" t="s">
        <v>68</v>
      </c>
      <c r="D59" s="77" t="s">
        <v>29</v>
      </c>
      <c r="E59" s="57">
        <v>1</v>
      </c>
      <c r="F59" s="57">
        <v>1</v>
      </c>
      <c r="G59" s="23">
        <f t="shared" si="4"/>
        <v>1</v>
      </c>
      <c r="H59" s="35"/>
    </row>
    <row r="60" spans="1:8" x14ac:dyDescent="0.25">
      <c r="A60" s="101" t="s">
        <v>46</v>
      </c>
      <c r="B60" s="102">
        <v>42545</v>
      </c>
      <c r="C60" s="19" t="s">
        <v>45</v>
      </c>
      <c r="D60" s="77" t="s">
        <v>29</v>
      </c>
      <c r="E60" s="57">
        <v>1</v>
      </c>
      <c r="F60" s="57">
        <v>1</v>
      </c>
      <c r="G60" s="23">
        <f t="shared" si="4"/>
        <v>1</v>
      </c>
      <c r="H60" s="35"/>
    </row>
    <row r="61" spans="1:8" x14ac:dyDescent="0.25">
      <c r="A61" s="101"/>
      <c r="B61" s="101"/>
      <c r="C61" s="19" t="s">
        <v>33</v>
      </c>
      <c r="D61" s="77" t="s">
        <v>29</v>
      </c>
      <c r="E61" s="57">
        <v>1</v>
      </c>
      <c r="F61" s="57">
        <v>1</v>
      </c>
      <c r="G61" s="23">
        <f t="shared" si="4"/>
        <v>1</v>
      </c>
      <c r="H61" s="35"/>
    </row>
    <row r="62" spans="1:8" x14ac:dyDescent="0.25">
      <c r="A62" s="101"/>
      <c r="B62" s="101"/>
      <c r="C62" s="19" t="s">
        <v>68</v>
      </c>
      <c r="D62" s="77" t="s">
        <v>29</v>
      </c>
      <c r="E62" s="57">
        <v>1</v>
      </c>
      <c r="F62" s="57">
        <v>1</v>
      </c>
      <c r="G62" s="23">
        <f t="shared" si="4"/>
        <v>1</v>
      </c>
      <c r="H62" s="35"/>
    </row>
    <row r="63" spans="1:8" x14ac:dyDescent="0.25">
      <c r="A63" s="101"/>
      <c r="B63" s="101"/>
      <c r="C63" s="19" t="s">
        <v>71</v>
      </c>
      <c r="D63" s="77" t="s">
        <v>29</v>
      </c>
      <c r="E63" s="57">
        <v>1</v>
      </c>
      <c r="F63" s="57">
        <v>1</v>
      </c>
      <c r="G63" s="23">
        <f t="shared" si="4"/>
        <v>1</v>
      </c>
      <c r="H63" s="35"/>
    </row>
    <row r="64" spans="1:8" x14ac:dyDescent="0.25">
      <c r="A64" s="101" t="s">
        <v>47</v>
      </c>
      <c r="B64" s="102">
        <v>42548</v>
      </c>
      <c r="C64" s="19" t="s">
        <v>45</v>
      </c>
      <c r="D64" s="77" t="s">
        <v>29</v>
      </c>
      <c r="E64" s="57">
        <v>1</v>
      </c>
      <c r="F64" s="57">
        <v>1</v>
      </c>
      <c r="G64" s="23">
        <f t="shared" si="4"/>
        <v>1</v>
      </c>
      <c r="H64" s="35"/>
    </row>
    <row r="65" spans="1:8" x14ac:dyDescent="0.25">
      <c r="A65" s="101"/>
      <c r="B65" s="101"/>
      <c r="C65" s="19" t="s">
        <v>33</v>
      </c>
      <c r="D65" s="77" t="s">
        <v>29</v>
      </c>
      <c r="E65" s="57">
        <v>1</v>
      </c>
      <c r="F65" s="57">
        <v>1</v>
      </c>
      <c r="G65" s="23">
        <f t="shared" si="4"/>
        <v>1</v>
      </c>
      <c r="H65" s="35"/>
    </row>
    <row r="66" spans="1:8" x14ac:dyDescent="0.25">
      <c r="A66" s="101"/>
      <c r="B66" s="101"/>
      <c r="C66" s="19" t="s">
        <v>68</v>
      </c>
      <c r="D66" s="77" t="s">
        <v>29</v>
      </c>
      <c r="E66" s="57">
        <v>1</v>
      </c>
      <c r="F66" s="57">
        <v>1</v>
      </c>
      <c r="G66" s="23">
        <f t="shared" si="4"/>
        <v>1</v>
      </c>
      <c r="H66" s="82"/>
    </row>
    <row r="67" spans="1:8" x14ac:dyDescent="0.25">
      <c r="A67" s="101" t="s">
        <v>48</v>
      </c>
      <c r="B67" s="102">
        <v>42549</v>
      </c>
      <c r="C67" s="19" t="s">
        <v>45</v>
      </c>
      <c r="D67" s="77" t="s">
        <v>29</v>
      </c>
      <c r="E67" s="57">
        <v>1</v>
      </c>
      <c r="F67" s="57">
        <v>1</v>
      </c>
      <c r="G67" s="23">
        <f t="shared" si="4"/>
        <v>1</v>
      </c>
      <c r="H67" s="35"/>
    </row>
    <row r="68" spans="1:8" x14ac:dyDescent="0.25">
      <c r="A68" s="101"/>
      <c r="B68" s="101"/>
      <c r="C68" s="19" t="s">
        <v>33</v>
      </c>
      <c r="D68" s="77" t="s">
        <v>29</v>
      </c>
      <c r="E68" s="57">
        <v>1</v>
      </c>
      <c r="F68" s="57">
        <v>1</v>
      </c>
      <c r="G68" s="23">
        <f t="shared" si="4"/>
        <v>1</v>
      </c>
      <c r="H68" s="35"/>
    </row>
    <row r="69" spans="1:8" x14ac:dyDescent="0.25">
      <c r="A69" s="101"/>
      <c r="B69" s="101"/>
      <c r="C69" s="19" t="s">
        <v>71</v>
      </c>
      <c r="D69" s="77" t="s">
        <v>29</v>
      </c>
      <c r="E69" s="57">
        <v>1</v>
      </c>
      <c r="F69" s="57">
        <v>1</v>
      </c>
      <c r="G69" s="23">
        <f t="shared" si="4"/>
        <v>1</v>
      </c>
      <c r="H69" s="35"/>
    </row>
    <row r="70" spans="1:8" x14ac:dyDescent="0.25">
      <c r="A70" s="101"/>
      <c r="B70" s="101"/>
      <c r="C70" s="19" t="s">
        <v>68</v>
      </c>
      <c r="D70" s="77" t="s">
        <v>29</v>
      </c>
      <c r="E70" s="57">
        <v>1</v>
      </c>
      <c r="F70" s="57">
        <v>1</v>
      </c>
      <c r="G70" s="23">
        <f t="shared" si="4"/>
        <v>1</v>
      </c>
      <c r="H70" s="35"/>
    </row>
    <row r="71" spans="1:8" x14ac:dyDescent="0.25">
      <c r="A71" s="101" t="s">
        <v>63</v>
      </c>
      <c r="B71" s="102">
        <v>42550</v>
      </c>
      <c r="C71" s="19" t="s">
        <v>45</v>
      </c>
      <c r="D71" s="77" t="s">
        <v>29</v>
      </c>
      <c r="E71" s="57">
        <v>1</v>
      </c>
      <c r="F71" s="57">
        <v>1</v>
      </c>
      <c r="G71" s="23">
        <f t="shared" si="4"/>
        <v>1</v>
      </c>
      <c r="H71" s="35"/>
    </row>
    <row r="72" spans="1:8" x14ac:dyDescent="0.25">
      <c r="A72" s="101"/>
      <c r="B72" s="101"/>
      <c r="C72" s="19" t="s">
        <v>33</v>
      </c>
      <c r="D72" s="77" t="s">
        <v>29</v>
      </c>
      <c r="E72" s="57">
        <v>1</v>
      </c>
      <c r="F72" s="57">
        <v>1</v>
      </c>
      <c r="G72" s="23">
        <f t="shared" si="4"/>
        <v>1</v>
      </c>
      <c r="H72" s="35"/>
    </row>
    <row r="73" spans="1:8" x14ac:dyDescent="0.25">
      <c r="A73" s="101"/>
      <c r="B73" s="101"/>
      <c r="C73" s="19" t="s">
        <v>71</v>
      </c>
      <c r="D73" s="77" t="s">
        <v>29</v>
      </c>
      <c r="E73" s="57">
        <v>1</v>
      </c>
      <c r="F73" s="57">
        <v>1</v>
      </c>
      <c r="G73" s="23">
        <f t="shared" si="4"/>
        <v>1</v>
      </c>
      <c r="H73" s="35"/>
    </row>
    <row r="74" spans="1:8" x14ac:dyDescent="0.25">
      <c r="A74" s="101"/>
      <c r="B74" s="101"/>
      <c r="C74" s="19" t="s">
        <v>66</v>
      </c>
      <c r="D74" s="77" t="s">
        <v>29</v>
      </c>
      <c r="E74" s="57">
        <v>1</v>
      </c>
      <c r="F74" s="57">
        <v>1</v>
      </c>
      <c r="G74" s="23">
        <f t="shared" si="4"/>
        <v>1</v>
      </c>
      <c r="H74" s="35"/>
    </row>
    <row r="75" spans="1:8" x14ac:dyDescent="0.25">
      <c r="A75" s="101" t="s">
        <v>64</v>
      </c>
      <c r="B75" s="108">
        <v>42520</v>
      </c>
      <c r="C75" s="19" t="s">
        <v>33</v>
      </c>
      <c r="D75" s="77" t="s">
        <v>29</v>
      </c>
      <c r="E75" s="57">
        <v>1</v>
      </c>
      <c r="F75" s="57">
        <v>1</v>
      </c>
      <c r="G75" s="23">
        <f t="shared" ref="G75" si="5">F75/E75</f>
        <v>1</v>
      </c>
      <c r="H75" s="35"/>
    </row>
    <row r="76" spans="1:8" x14ac:dyDescent="0.25">
      <c r="A76" s="101"/>
      <c r="B76" s="108"/>
      <c r="C76" s="19" t="s">
        <v>45</v>
      </c>
      <c r="D76" s="77" t="s">
        <v>29</v>
      </c>
      <c r="E76" s="57">
        <v>1</v>
      </c>
      <c r="F76" s="57">
        <v>1</v>
      </c>
      <c r="G76" s="23">
        <f t="shared" si="0"/>
        <v>1</v>
      </c>
      <c r="H76" s="35"/>
    </row>
    <row r="77" spans="1:8" x14ac:dyDescent="0.25">
      <c r="A77" s="101"/>
      <c r="B77" s="108"/>
      <c r="C77" s="19" t="s">
        <v>68</v>
      </c>
      <c r="D77" s="77" t="s">
        <v>29</v>
      </c>
      <c r="E77" s="57">
        <v>1</v>
      </c>
      <c r="F77" s="57">
        <v>1</v>
      </c>
      <c r="G77" s="23">
        <f>F77/E77</f>
        <v>1</v>
      </c>
      <c r="H77" s="35"/>
    </row>
    <row r="78" spans="1:8" x14ac:dyDescent="0.25">
      <c r="A78" s="101"/>
      <c r="B78" s="108"/>
      <c r="C78" s="19" t="s">
        <v>73</v>
      </c>
      <c r="D78" s="77" t="s">
        <v>29</v>
      </c>
      <c r="E78" s="57">
        <v>1</v>
      </c>
      <c r="F78" s="57">
        <v>1</v>
      </c>
      <c r="G78" s="23">
        <f>F78/E78</f>
        <v>1</v>
      </c>
      <c r="H78" s="35"/>
    </row>
    <row r="79" spans="1:8" x14ac:dyDescent="0.25">
      <c r="A79" s="101"/>
      <c r="B79" s="108"/>
      <c r="C79" s="19" t="s">
        <v>81</v>
      </c>
      <c r="D79" s="81" t="s">
        <v>82</v>
      </c>
      <c r="E79" s="57">
        <v>1</v>
      </c>
      <c r="F79" s="57">
        <v>1</v>
      </c>
      <c r="G79" s="23">
        <f>F79/E79</f>
        <v>1</v>
      </c>
      <c r="H79" s="35"/>
    </row>
    <row r="80" spans="1:8" x14ac:dyDescent="0.25">
      <c r="A80" s="101"/>
      <c r="B80" s="108"/>
      <c r="C80" s="19" t="s">
        <v>74</v>
      </c>
      <c r="D80" s="77" t="s">
        <v>29</v>
      </c>
      <c r="E80" s="57">
        <v>1</v>
      </c>
      <c r="F80" s="57">
        <v>1</v>
      </c>
      <c r="G80" s="23">
        <f>F80/E80</f>
        <v>1</v>
      </c>
      <c r="H80" s="35"/>
    </row>
    <row r="81" spans="1:8" x14ac:dyDescent="0.25">
      <c r="A81" s="101"/>
      <c r="B81" s="108"/>
      <c r="C81" s="19" t="s">
        <v>72</v>
      </c>
      <c r="D81" s="77" t="s">
        <v>29</v>
      </c>
      <c r="E81" s="57">
        <v>1</v>
      </c>
      <c r="F81" s="57">
        <v>1</v>
      </c>
      <c r="G81" s="23">
        <f t="shared" si="0"/>
        <v>1</v>
      </c>
      <c r="H81" s="35"/>
    </row>
    <row r="82" spans="1:8" x14ac:dyDescent="0.25">
      <c r="B82" s="47"/>
      <c r="C82" s="49"/>
      <c r="D82" s="47"/>
      <c r="E82" s="48"/>
      <c r="F82" s="48"/>
      <c r="G82" s="50"/>
      <c r="H82" s="47"/>
    </row>
    <row r="83" spans="1:8" x14ac:dyDescent="0.25">
      <c r="B83" s="71" t="s">
        <v>15</v>
      </c>
      <c r="C83" s="47"/>
      <c r="D83" s="47"/>
      <c r="E83" s="47"/>
      <c r="F83" s="47"/>
      <c r="G83" s="47"/>
      <c r="H83" s="16"/>
    </row>
    <row r="84" spans="1:8" x14ac:dyDescent="0.25">
      <c r="B84" s="72" t="s">
        <v>55</v>
      </c>
      <c r="C84" s="71"/>
      <c r="D84" s="16"/>
      <c r="E84" s="62"/>
      <c r="F84" s="9"/>
      <c r="G84" s="61"/>
      <c r="H84" s="16"/>
    </row>
    <row r="85" spans="1:8" x14ac:dyDescent="0.25">
      <c r="B85" s="29"/>
      <c r="C85" s="72"/>
      <c r="D85" s="16"/>
      <c r="E85" s="44"/>
      <c r="F85" s="9"/>
      <c r="G85" s="43"/>
      <c r="H85" s="16"/>
    </row>
    <row r="86" spans="1:8" x14ac:dyDescent="0.25">
      <c r="C86" s="16"/>
      <c r="D86" s="16"/>
      <c r="E86" s="44"/>
      <c r="F86" s="9"/>
      <c r="G86" s="43"/>
    </row>
    <row r="87" spans="1:8" x14ac:dyDescent="0.25">
      <c r="B87" s="73" t="s">
        <v>16</v>
      </c>
      <c r="C87" s="73"/>
      <c r="D87" s="6"/>
      <c r="H87" s="64"/>
    </row>
    <row r="88" spans="1:8" x14ac:dyDescent="0.25">
      <c r="B88" s="68" t="s">
        <v>40</v>
      </c>
      <c r="C88" s="56"/>
      <c r="F88" s="60" t="s">
        <v>42</v>
      </c>
      <c r="G88" s="64"/>
      <c r="H88" s="45"/>
    </row>
    <row r="89" spans="1:8" x14ac:dyDescent="0.25">
      <c r="B89" s="46"/>
      <c r="C89" s="46"/>
      <c r="E89" s="6"/>
      <c r="F89" s="60" t="s">
        <v>43</v>
      </c>
      <c r="G89" s="45"/>
      <c r="H89" s="45"/>
    </row>
    <row r="90" spans="1:8" x14ac:dyDescent="0.25">
      <c r="B90" s="29"/>
      <c r="C90" s="46"/>
      <c r="D90" s="6"/>
      <c r="E90" s="6"/>
      <c r="F90" s="45"/>
      <c r="G90" s="45"/>
      <c r="H90" s="16"/>
    </row>
    <row r="91" spans="1:8" ht="15" customHeight="1" x14ac:dyDescent="0.25">
      <c r="C91" s="16"/>
      <c r="D91" s="16"/>
      <c r="E91" s="17"/>
      <c r="F91" s="9"/>
      <c r="G91" s="8"/>
      <c r="H91" s="66"/>
    </row>
    <row r="92" spans="1:8" x14ac:dyDescent="0.25">
      <c r="B92" s="74" t="s">
        <v>37</v>
      </c>
      <c r="C92" s="69"/>
      <c r="D92" s="69"/>
      <c r="E92" s="69"/>
      <c r="F92" s="66"/>
      <c r="G92" s="66" t="s">
        <v>44</v>
      </c>
      <c r="H92" s="67"/>
    </row>
    <row r="93" spans="1:8" x14ac:dyDescent="0.25">
      <c r="B93" s="16" t="s">
        <v>38</v>
      </c>
      <c r="C93" s="70"/>
      <c r="D93" s="70"/>
      <c r="E93" s="70"/>
      <c r="F93" s="67"/>
      <c r="G93" s="67" t="s">
        <v>39</v>
      </c>
    </row>
  </sheetData>
  <mergeCells count="47">
    <mergeCell ref="A48:A51"/>
    <mergeCell ref="B48:B51"/>
    <mergeCell ref="A52:A56"/>
    <mergeCell ref="B52:B56"/>
    <mergeCell ref="A41:A43"/>
    <mergeCell ref="B41:B43"/>
    <mergeCell ref="A35:A37"/>
    <mergeCell ref="B35:B37"/>
    <mergeCell ref="B44:B47"/>
    <mergeCell ref="A44:A47"/>
    <mergeCell ref="A75:A81"/>
    <mergeCell ref="B75:B81"/>
    <mergeCell ref="A11:A14"/>
    <mergeCell ref="B11:B14"/>
    <mergeCell ref="B29:B31"/>
    <mergeCell ref="A29:A31"/>
    <mergeCell ref="A15:A18"/>
    <mergeCell ref="B15:B18"/>
    <mergeCell ref="A19:A21"/>
    <mergeCell ref="B19:B21"/>
    <mergeCell ref="A22:A24"/>
    <mergeCell ref="B22:B24"/>
    <mergeCell ref="B26:B28"/>
    <mergeCell ref="B32:B34"/>
    <mergeCell ref="A38:A40"/>
    <mergeCell ref="B38:B40"/>
    <mergeCell ref="A32:A34"/>
    <mergeCell ref="A26:A28"/>
    <mergeCell ref="A8:B9"/>
    <mergeCell ref="A10:B10"/>
    <mergeCell ref="B1:H1"/>
    <mergeCell ref="C8:C9"/>
    <mergeCell ref="D8:D9"/>
    <mergeCell ref="E8:E9"/>
    <mergeCell ref="F8:G8"/>
    <mergeCell ref="H8:H9"/>
    <mergeCell ref="A25:B25"/>
    <mergeCell ref="A67:A70"/>
    <mergeCell ref="B67:B70"/>
    <mergeCell ref="A71:A74"/>
    <mergeCell ref="B71:B74"/>
    <mergeCell ref="A57:A59"/>
    <mergeCell ref="B57:B59"/>
    <mergeCell ref="A60:A63"/>
    <mergeCell ref="B60:B63"/>
    <mergeCell ref="A64:A66"/>
    <mergeCell ref="B64:B66"/>
  </mergeCells>
  <printOptions horizontalCentered="1"/>
  <pageMargins left="0.7" right="0.7" top="0.75" bottom="0.75" header="0.3" footer="0.3"/>
  <pageSetup paperSize="9" scale="52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view="pageBreakPreview" topLeftCell="A2" zoomScale="80" zoomScaleNormal="80" zoomScaleSheetLayoutView="80" workbookViewId="0">
      <selection activeCell="D17" sqref="D17"/>
    </sheetView>
  </sheetViews>
  <sheetFormatPr defaultRowHeight="15" x14ac:dyDescent="0.25"/>
  <cols>
    <col min="1" max="1" width="4.7109375" customWidth="1"/>
    <col min="2" max="2" width="13.28515625" customWidth="1"/>
    <col min="3" max="3" width="49.28515625" bestFit="1" customWidth="1"/>
    <col min="4" max="4" width="15.7109375" bestFit="1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24"/>
    <col min="15" max="15" width="18.5703125" style="24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H2" s="95" t="s">
        <v>18</v>
      </c>
      <c r="I2" s="96"/>
    </row>
    <row r="3" spans="1:25" ht="18.75" x14ac:dyDescent="0.3">
      <c r="A3" s="97" t="s">
        <v>53</v>
      </c>
      <c r="B3" s="97"/>
      <c r="C3" s="97"/>
      <c r="D3" s="97"/>
      <c r="E3" s="97"/>
      <c r="F3" s="97"/>
      <c r="G3" s="97"/>
      <c r="H3" s="97"/>
      <c r="I3" s="97"/>
    </row>
    <row r="4" spans="1:25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25" x14ac:dyDescent="0.25">
      <c r="A5" s="111" t="s">
        <v>1</v>
      </c>
      <c r="B5" s="111"/>
      <c r="C5" t="s">
        <v>2</v>
      </c>
    </row>
    <row r="6" spans="1:25" x14ac:dyDescent="0.25">
      <c r="A6" s="111" t="s">
        <v>3</v>
      </c>
      <c r="B6" s="111"/>
      <c r="C6" s="12" t="s">
        <v>34</v>
      </c>
    </row>
    <row r="7" spans="1:25" x14ac:dyDescent="0.25">
      <c r="A7" s="111" t="s">
        <v>4</v>
      </c>
      <c r="B7" s="111"/>
      <c r="C7" s="12" t="s">
        <v>35</v>
      </c>
    </row>
    <row r="8" spans="1:25" x14ac:dyDescent="0.25">
      <c r="A8" s="111" t="s">
        <v>5</v>
      </c>
      <c r="B8" s="111"/>
      <c r="C8" t="s">
        <v>58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:25" ht="15.75" customHeight="1" thickBot="1" x14ac:dyDescent="0.3">
      <c r="L9" s="31"/>
      <c r="M9" s="37"/>
      <c r="N9" s="37"/>
      <c r="O9" s="37"/>
      <c r="P9" s="37"/>
      <c r="Q9" s="52"/>
      <c r="R9" s="52"/>
      <c r="S9" s="52"/>
      <c r="T9" s="52"/>
      <c r="U9" s="52"/>
      <c r="V9" s="52"/>
      <c r="W9" s="52"/>
      <c r="X9" s="52"/>
      <c r="Y9" s="52"/>
    </row>
    <row r="10" spans="1:25" ht="15" customHeight="1" x14ac:dyDescent="0.25">
      <c r="A10" s="128" t="s">
        <v>6</v>
      </c>
      <c r="B10" s="130" t="s">
        <v>7</v>
      </c>
      <c r="C10" s="130"/>
      <c r="D10" s="131" t="s">
        <v>26</v>
      </c>
      <c r="E10" s="131" t="s">
        <v>9</v>
      </c>
      <c r="F10" s="131"/>
      <c r="G10" s="131"/>
      <c r="H10" s="133" t="s">
        <v>10</v>
      </c>
      <c r="I10" s="122" t="s">
        <v>31</v>
      </c>
      <c r="J10" s="122" t="s">
        <v>32</v>
      </c>
      <c r="K10" s="120" t="s">
        <v>11</v>
      </c>
      <c r="L10" s="32"/>
      <c r="M10" s="37"/>
      <c r="N10" s="37"/>
      <c r="O10" s="37"/>
      <c r="P10" s="37"/>
      <c r="Q10" s="52"/>
      <c r="R10" s="52"/>
      <c r="S10" s="52"/>
      <c r="T10" s="52"/>
      <c r="U10" s="52"/>
      <c r="V10" s="52"/>
      <c r="W10" s="52"/>
      <c r="X10" s="52"/>
      <c r="Y10" s="52"/>
    </row>
    <row r="11" spans="1:25" ht="31.5" customHeight="1" x14ac:dyDescent="0.25">
      <c r="A11" s="129"/>
      <c r="B11" s="98"/>
      <c r="C11" s="98"/>
      <c r="D11" s="132"/>
      <c r="E11" s="34" t="s">
        <v>12</v>
      </c>
      <c r="F11" s="34" t="s">
        <v>13</v>
      </c>
      <c r="G11" s="34" t="s">
        <v>14</v>
      </c>
      <c r="H11" s="134"/>
      <c r="I11" s="123"/>
      <c r="J11" s="123"/>
      <c r="K11" s="121"/>
      <c r="L11" s="32"/>
      <c r="M11" s="37"/>
      <c r="N11" s="37"/>
      <c r="O11" s="37"/>
      <c r="P11" s="37"/>
      <c r="Q11" s="52"/>
      <c r="R11" s="52"/>
      <c r="S11" s="52"/>
      <c r="T11" s="52"/>
      <c r="U11" s="52"/>
      <c r="V11" s="52"/>
      <c r="W11" s="52"/>
      <c r="X11" s="52"/>
      <c r="Y11" s="52"/>
    </row>
    <row r="12" spans="1:25" ht="15" customHeight="1" x14ac:dyDescent="0.25">
      <c r="A12" s="38">
        <v>-1</v>
      </c>
      <c r="B12" s="100">
        <f>A12-1</f>
        <v>-2</v>
      </c>
      <c r="C12" s="100"/>
      <c r="D12" s="2">
        <f>B12-1</f>
        <v>-3</v>
      </c>
      <c r="E12" s="2">
        <f t="shared" ref="E12:K12" si="0">D12-1</f>
        <v>-4</v>
      </c>
      <c r="F12" s="2">
        <f t="shared" si="0"/>
        <v>-5</v>
      </c>
      <c r="G12" s="2">
        <f t="shared" si="0"/>
        <v>-6</v>
      </c>
      <c r="H12" s="2">
        <f t="shared" si="0"/>
        <v>-7</v>
      </c>
      <c r="I12" s="2">
        <f t="shared" si="0"/>
        <v>-8</v>
      </c>
      <c r="J12" s="2">
        <f t="shared" si="0"/>
        <v>-9</v>
      </c>
      <c r="K12" s="39">
        <f t="shared" si="0"/>
        <v>-10</v>
      </c>
      <c r="L12" s="32"/>
      <c r="M12" s="37"/>
      <c r="N12" s="37"/>
      <c r="O12" s="37"/>
      <c r="P12" s="37"/>
      <c r="Q12" s="52"/>
      <c r="R12" s="52"/>
      <c r="S12" s="52"/>
      <c r="T12" s="52"/>
      <c r="U12" s="52"/>
      <c r="V12" s="52"/>
      <c r="W12" s="52"/>
      <c r="X12" s="52"/>
      <c r="Y12" s="52"/>
    </row>
    <row r="13" spans="1:25" x14ac:dyDescent="0.25">
      <c r="A13" s="3">
        <v>1</v>
      </c>
      <c r="B13" s="126" t="s">
        <v>54</v>
      </c>
      <c r="C13" s="127"/>
      <c r="D13" s="63" t="s">
        <v>36</v>
      </c>
      <c r="E13" s="4">
        <v>4</v>
      </c>
      <c r="F13" s="4">
        <v>4</v>
      </c>
      <c r="G13" s="63">
        <v>100</v>
      </c>
      <c r="H13" s="63">
        <v>100</v>
      </c>
      <c r="I13" s="63"/>
      <c r="J13" s="65">
        <f>0.01*F13</f>
        <v>0.04</v>
      </c>
      <c r="K13" s="63"/>
      <c r="L13" s="32"/>
      <c r="M13" s="37"/>
      <c r="N13" s="37"/>
      <c r="O13" s="37"/>
      <c r="P13" s="37"/>
      <c r="Q13" s="52"/>
      <c r="R13" s="52"/>
      <c r="S13" s="52"/>
      <c r="T13" s="52"/>
      <c r="U13" s="52"/>
      <c r="V13" s="52"/>
      <c r="W13" s="52"/>
      <c r="X13" s="52"/>
      <c r="Y13" s="52"/>
    </row>
    <row r="14" spans="1:25" ht="15" customHeight="1" x14ac:dyDescent="0.25">
      <c r="A14" s="55">
        <v>2</v>
      </c>
      <c r="B14" s="126" t="s">
        <v>49</v>
      </c>
      <c r="C14" s="127"/>
      <c r="D14" s="63" t="s">
        <v>50</v>
      </c>
      <c r="E14" s="4">
        <v>4</v>
      </c>
      <c r="F14" s="4">
        <v>4</v>
      </c>
      <c r="G14" s="63">
        <v>100</v>
      </c>
      <c r="H14" s="63">
        <v>100</v>
      </c>
      <c r="I14" s="63" t="s">
        <v>51</v>
      </c>
      <c r="J14" s="65">
        <f>F14*0.005</f>
        <v>0.02</v>
      </c>
      <c r="K14" s="63"/>
      <c r="L14" s="32"/>
      <c r="M14" s="37"/>
      <c r="N14" s="37"/>
      <c r="O14" s="37"/>
      <c r="P14" s="37"/>
      <c r="Q14" s="52"/>
      <c r="R14" s="52"/>
      <c r="S14" s="52"/>
      <c r="T14" s="52"/>
      <c r="U14" s="52"/>
      <c r="V14" s="52"/>
      <c r="W14" s="52"/>
      <c r="X14" s="52"/>
      <c r="Y14" s="52"/>
    </row>
    <row r="15" spans="1:25" ht="15" customHeight="1" x14ac:dyDescent="0.25">
      <c r="A15" s="3">
        <v>3</v>
      </c>
      <c r="B15" s="126" t="s">
        <v>75</v>
      </c>
      <c r="C15" s="127"/>
      <c r="D15" s="63" t="s">
        <v>50</v>
      </c>
      <c r="E15" s="4">
        <v>834</v>
      </c>
      <c r="F15" s="4">
        <v>834</v>
      </c>
      <c r="G15" s="63">
        <v>100</v>
      </c>
      <c r="H15" s="63">
        <v>100</v>
      </c>
      <c r="I15" s="63" t="s">
        <v>51</v>
      </c>
      <c r="J15" s="65">
        <f>F15*0.005</f>
        <v>4.17</v>
      </c>
      <c r="K15" s="63"/>
      <c r="L15" s="32"/>
      <c r="M15" s="37"/>
      <c r="N15" s="37"/>
      <c r="O15" s="37"/>
      <c r="P15" s="37"/>
      <c r="Q15" s="52"/>
      <c r="R15" s="52"/>
      <c r="S15" s="52"/>
      <c r="T15" s="52"/>
      <c r="U15" s="52"/>
      <c r="V15" s="52"/>
      <c r="W15" s="52"/>
      <c r="X15" s="52"/>
      <c r="Y15" s="52"/>
    </row>
    <row r="16" spans="1:25" ht="15" customHeight="1" x14ac:dyDescent="0.25">
      <c r="A16" s="55">
        <v>4</v>
      </c>
      <c r="B16" s="126" t="s">
        <v>76</v>
      </c>
      <c r="C16" s="127"/>
      <c r="D16" s="63" t="s">
        <v>79</v>
      </c>
      <c r="E16" s="4">
        <v>1</v>
      </c>
      <c r="F16" s="4">
        <v>1</v>
      </c>
      <c r="G16" s="63">
        <v>100</v>
      </c>
      <c r="H16" s="63">
        <v>100</v>
      </c>
      <c r="I16" s="63" t="s">
        <v>80</v>
      </c>
      <c r="J16" s="65">
        <f>F16*0.15</f>
        <v>0.15</v>
      </c>
      <c r="K16" s="63"/>
      <c r="L16" s="32"/>
      <c r="M16" s="37"/>
      <c r="N16" s="37"/>
      <c r="O16" s="37"/>
      <c r="P16" s="37"/>
      <c r="Q16" s="52"/>
      <c r="R16" s="52"/>
      <c r="S16" s="52"/>
      <c r="T16" s="52"/>
      <c r="U16" s="52"/>
      <c r="V16" s="52"/>
      <c r="W16" s="52"/>
      <c r="X16" s="52"/>
      <c r="Y16" s="52"/>
    </row>
    <row r="17" spans="1:25" ht="15" customHeight="1" x14ac:dyDescent="0.25">
      <c r="A17" s="3">
        <v>5</v>
      </c>
      <c r="B17" s="126" t="s">
        <v>81</v>
      </c>
      <c r="C17" s="127"/>
      <c r="D17" s="63" t="s">
        <v>82</v>
      </c>
      <c r="E17" s="4">
        <v>1</v>
      </c>
      <c r="F17" s="4">
        <v>1</v>
      </c>
      <c r="G17" s="63">
        <v>100</v>
      </c>
      <c r="H17" s="63">
        <v>100</v>
      </c>
      <c r="I17" s="63"/>
      <c r="J17" s="65">
        <f>F17*0.02</f>
        <v>0.02</v>
      </c>
      <c r="K17" s="63"/>
      <c r="L17" s="32"/>
      <c r="M17" s="37"/>
      <c r="N17" s="37"/>
      <c r="O17" s="37"/>
      <c r="P17" s="37"/>
      <c r="Q17" s="52"/>
      <c r="R17" s="52"/>
      <c r="S17" s="52"/>
      <c r="T17" s="52"/>
      <c r="U17" s="52"/>
      <c r="V17" s="52"/>
      <c r="W17" s="52"/>
      <c r="X17" s="52"/>
      <c r="Y17" s="52"/>
    </row>
    <row r="18" spans="1:25" x14ac:dyDescent="0.25">
      <c r="A18" s="3">
        <v>6</v>
      </c>
      <c r="B18" s="126" t="s">
        <v>77</v>
      </c>
      <c r="C18" s="127"/>
      <c r="D18" s="63" t="s">
        <v>78</v>
      </c>
      <c r="E18" s="4">
        <v>24</v>
      </c>
      <c r="F18" s="4">
        <v>24</v>
      </c>
      <c r="G18" s="63">
        <v>100</v>
      </c>
      <c r="H18" s="63">
        <v>100</v>
      </c>
      <c r="I18" s="63"/>
      <c r="J18" s="65">
        <f>0.02*F18</f>
        <v>0.48</v>
      </c>
      <c r="K18" s="40"/>
      <c r="L18" s="32"/>
      <c r="M18" s="37"/>
      <c r="N18" s="37"/>
      <c r="O18" s="37"/>
      <c r="P18" s="37"/>
      <c r="Q18" s="52"/>
      <c r="R18" s="52"/>
      <c r="S18" s="52"/>
      <c r="T18" s="52"/>
      <c r="U18" s="52"/>
      <c r="V18" s="52"/>
      <c r="W18" s="52"/>
      <c r="X18" s="52"/>
      <c r="Y18" s="52"/>
    </row>
    <row r="19" spans="1:25" x14ac:dyDescent="0.25">
      <c r="A19" s="112"/>
      <c r="B19" s="113"/>
      <c r="C19" s="113"/>
      <c r="D19" s="113"/>
      <c r="E19" s="113"/>
      <c r="F19" s="113"/>
      <c r="G19" s="113"/>
      <c r="H19" s="114"/>
      <c r="I19" s="33"/>
      <c r="J19" s="42">
        <f>SUM(J13:J18)</f>
        <v>4.879999999999999</v>
      </c>
      <c r="K19" s="109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5" x14ac:dyDescent="0.25">
      <c r="A20" s="112" t="s">
        <v>19</v>
      </c>
      <c r="B20" s="113"/>
      <c r="C20" s="113"/>
      <c r="D20" s="113"/>
      <c r="E20" s="113"/>
      <c r="F20" s="114"/>
      <c r="G20" s="30">
        <f>AVERAGE(G13:G18)</f>
        <v>100</v>
      </c>
      <c r="H20" s="30">
        <f>AVERAGE(H13:H18)</f>
        <v>100</v>
      </c>
      <c r="I20" s="33"/>
      <c r="J20" s="124"/>
      <c r="K20" s="109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5" ht="15.75" thickBot="1" x14ac:dyDescent="0.3">
      <c r="A21" s="115" t="s">
        <v>20</v>
      </c>
      <c r="B21" s="116"/>
      <c r="C21" s="116"/>
      <c r="D21" s="116"/>
      <c r="E21" s="116"/>
      <c r="F21" s="117"/>
      <c r="G21" s="118">
        <f>AVERAGE(G20:H20)</f>
        <v>100</v>
      </c>
      <c r="H21" s="119"/>
      <c r="I21" s="41"/>
      <c r="J21" s="125"/>
      <c r="K21" s="110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25" x14ac:dyDescent="0.25"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5" x14ac:dyDescent="0.25">
      <c r="B23" s="135" t="s">
        <v>15</v>
      </c>
      <c r="C23" s="135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25" x14ac:dyDescent="0.25">
      <c r="B24" s="111" t="s">
        <v>60</v>
      </c>
      <c r="C24" s="111"/>
    </row>
    <row r="26" spans="1:25" x14ac:dyDescent="0.25">
      <c r="A26" s="6"/>
      <c r="B26" s="92" t="s">
        <v>16</v>
      </c>
      <c r="C26" s="92"/>
      <c r="D26" s="6"/>
      <c r="E26" s="92" t="s">
        <v>17</v>
      </c>
      <c r="F26" s="92"/>
      <c r="G26" s="92"/>
    </row>
    <row r="27" spans="1:25" x14ac:dyDescent="0.25">
      <c r="A27" s="6"/>
      <c r="B27" s="92" t="s">
        <v>40</v>
      </c>
      <c r="C27" s="92"/>
      <c r="D27" s="6"/>
      <c r="E27" s="60" t="s">
        <v>41</v>
      </c>
      <c r="F27" s="6"/>
      <c r="G27" s="6"/>
    </row>
    <row r="28" spans="1:25" x14ac:dyDescent="0.25">
      <c r="A28" s="6"/>
      <c r="B28" s="6"/>
      <c r="C28" s="7"/>
      <c r="D28" s="6"/>
      <c r="E28" s="6"/>
      <c r="F28" s="6"/>
      <c r="G28" s="6"/>
    </row>
    <row r="29" spans="1:25" x14ac:dyDescent="0.25">
      <c r="A29" s="6"/>
      <c r="B29" s="6"/>
      <c r="D29" s="6"/>
      <c r="E29" s="6"/>
      <c r="G29" s="6"/>
    </row>
    <row r="30" spans="1:25" x14ac:dyDescent="0.25">
      <c r="A30" s="6"/>
      <c r="B30" s="93" t="s">
        <v>37</v>
      </c>
      <c r="C30" s="93"/>
      <c r="D30" s="6"/>
      <c r="E30" s="90" t="s">
        <v>44</v>
      </c>
      <c r="F30" s="90"/>
      <c r="G30" s="90"/>
    </row>
    <row r="31" spans="1:25" x14ac:dyDescent="0.25">
      <c r="A31" s="6"/>
      <c r="B31" s="94" t="s">
        <v>38</v>
      </c>
      <c r="C31" s="94"/>
      <c r="D31" s="6"/>
      <c r="E31" s="91" t="s">
        <v>39</v>
      </c>
      <c r="F31" s="91"/>
      <c r="G31" s="91"/>
    </row>
  </sheetData>
  <mergeCells count="36">
    <mergeCell ref="B17:C17"/>
    <mergeCell ref="B14:C14"/>
    <mergeCell ref="E30:G30"/>
    <mergeCell ref="E31:G31"/>
    <mergeCell ref="B23:C23"/>
    <mergeCell ref="B24:C24"/>
    <mergeCell ref="B31:C31"/>
    <mergeCell ref="B30:C30"/>
    <mergeCell ref="B26:C26"/>
    <mergeCell ref="B27:C27"/>
    <mergeCell ref="E26:G26"/>
    <mergeCell ref="B15:C15"/>
    <mergeCell ref="B16:C16"/>
    <mergeCell ref="H2:I2"/>
    <mergeCell ref="A3:I3"/>
    <mergeCell ref="A10:A11"/>
    <mergeCell ref="B10:C11"/>
    <mergeCell ref="D10:D11"/>
    <mergeCell ref="E10:G10"/>
    <mergeCell ref="H10:H11"/>
    <mergeCell ref="K19:K21"/>
    <mergeCell ref="A5:B5"/>
    <mergeCell ref="A6:B6"/>
    <mergeCell ref="A7:B7"/>
    <mergeCell ref="A8:B8"/>
    <mergeCell ref="A19:H19"/>
    <mergeCell ref="A20:F20"/>
    <mergeCell ref="A21:F21"/>
    <mergeCell ref="G21:H21"/>
    <mergeCell ref="B12:C12"/>
    <mergeCell ref="K10:K11"/>
    <mergeCell ref="I10:I11"/>
    <mergeCell ref="J10:J11"/>
    <mergeCell ref="J20:J21"/>
    <mergeCell ref="B18:C18"/>
    <mergeCell ref="B13:C13"/>
  </mergeCells>
  <pageMargins left="0.7" right="0.22" top="0.32" bottom="0.24" header="0.2" footer="0.22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CKP-T Okt14</vt:lpstr>
      <vt:lpstr>LP Okt14</vt:lpstr>
      <vt:lpstr>CKP-R Okt14</vt:lpstr>
      <vt:lpstr>'CKP-R Okt14'!Print_Area</vt:lpstr>
      <vt:lpstr>'CKP-T Okt14'!Print_Area</vt:lpstr>
      <vt:lpstr>'LP Okt14'!Print_Titles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Haidir Magribi</cp:lastModifiedBy>
  <cp:lastPrinted>2016-07-01T01:45:42Z</cp:lastPrinted>
  <dcterms:created xsi:type="dcterms:W3CDTF">2014-11-23T23:48:32Z</dcterms:created>
  <dcterms:modified xsi:type="dcterms:W3CDTF">2016-07-01T01:49:42Z</dcterms:modified>
</cp:coreProperties>
</file>