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535" windowHeight="9825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Okt14'!$A$2:$K$29</definedName>
    <definedName name="_xlnm.Print_Area" localSheetId="0">'CKP-T Okt14'!$A$2:$I$26</definedName>
    <definedName name="_xlnm.Print_Area" localSheetId="1">'LP Okt14'!$A$1:$H$59</definedName>
    <definedName name="_xlnm.Print_Titles" localSheetId="1">'LP Okt14'!$8:$10</definedName>
  </definedNames>
  <calcPr calcId="144525"/>
</workbook>
</file>

<file path=xl/calcChain.xml><?xml version="1.0" encoding="utf-8"?>
<calcChain xmlns="http://schemas.openxmlformats.org/spreadsheetml/2006/main">
  <c r="J15" i="2" l="1"/>
  <c r="J14" i="2"/>
  <c r="J13" i="2"/>
  <c r="G30" i="3"/>
  <c r="G45" i="3"/>
  <c r="G40" i="3"/>
  <c r="G36" i="3"/>
  <c r="G42" i="3"/>
  <c r="G17" i="3"/>
  <c r="G47" i="3" l="1"/>
  <c r="G46" i="3"/>
  <c r="G44" i="3"/>
  <c r="G43" i="3"/>
  <c r="G41" i="3"/>
  <c r="G39" i="3"/>
  <c r="G38" i="3"/>
  <c r="G37" i="3"/>
  <c r="G35" i="3"/>
  <c r="G34" i="3"/>
  <c r="G33" i="3"/>
  <c r="G32" i="3"/>
  <c r="G31" i="3"/>
  <c r="G29" i="3"/>
  <c r="G25" i="3"/>
  <c r="G24" i="3"/>
  <c r="G23" i="3"/>
  <c r="G22" i="3"/>
  <c r="G21" i="3"/>
  <c r="G20" i="3"/>
  <c r="G19" i="3"/>
  <c r="G18" i="3"/>
  <c r="G15" i="3"/>
  <c r="G16" i="3"/>
  <c r="G14" i="3"/>
  <c r="G11" i="3"/>
  <c r="G12" i="3" l="1"/>
  <c r="J16" i="2" l="1"/>
  <c r="G13" i="3" l="1"/>
  <c r="H17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s="1"/>
  <c r="I11" i="1" s="1"/>
  <c r="G17" i="2" l="1"/>
  <c r="G18" i="2" s="1"/>
</calcChain>
</file>

<file path=xl/sharedStrings.xml><?xml version="1.0" encoding="utf-8"?>
<sst xmlns="http://schemas.openxmlformats.org/spreadsheetml/2006/main" count="183" uniqueCount="79">
  <si>
    <t>CKP-T</t>
  </si>
  <si>
    <t>TARGET KINERJA PEGAWAI TAHUN 2014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</si>
  <si>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</si>
  <si>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</si>
  <si>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</si>
  <si>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</si>
  <si>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</si>
  <si>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</si>
  <si>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</si>
  <si>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</si>
  <si>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</si>
  <si>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</si>
  <si>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</si>
  <si>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</si>
  <si>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</si>
  <si>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</si>
  <si>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 xml:space="preserve">CAPAIAN KINERJA PERORANGAN (CKP) : 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</si>
  <si>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</si>
  <si>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</si>
  <si>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</si>
  <si>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</si>
  <si>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</si>
  <si>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</si>
  <si>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</si>
  <si>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</si>
  <si>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</si>
  <si>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</si>
  <si>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</si>
  <si>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</si>
  <si>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</si>
  <si>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</si>
  <si>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</si>
  <si>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dokumen</t>
  </si>
  <si>
    <t>Kode Butir Kegiatan</t>
  </si>
  <si>
    <t>Angka Kredit</t>
  </si>
  <si>
    <t>CAPAIAN KINERJA PEGAWAI TAHUN 2015</t>
  </si>
  <si>
    <t>yel-yel pagi</t>
  </si>
  <si>
    <t>senin</t>
  </si>
  <si>
    <t>selasa</t>
  </si>
  <si>
    <t>rabu</t>
  </si>
  <si>
    <t>kamis</t>
  </si>
  <si>
    <t>jumat</t>
  </si>
  <si>
    <t>libur</t>
  </si>
  <si>
    <t>Tanggal: 4 Januari 2015</t>
  </si>
  <si>
    <t>Januari 2016</t>
  </si>
  <si>
    <t>entry susenas</t>
  </si>
  <si>
    <t>validasi susenas</t>
  </si>
  <si>
    <t>: Maret 2015</t>
  </si>
  <si>
    <t>Tanggal: 1 April 2016</t>
  </si>
  <si>
    <t>petugas apel siaga SE</t>
  </si>
  <si>
    <t>: Haidir Magribi</t>
  </si>
  <si>
    <t>: Integrasi Pengolahan dan Diseminasi Statistik</t>
  </si>
  <si>
    <t>cek email IPDS</t>
  </si>
  <si>
    <t>Memperbaiki dan Setting Finger print</t>
  </si>
  <si>
    <t>Mengecek Website Kota Bontang</t>
  </si>
  <si>
    <t>Membuat Cover LAKIP 2015</t>
  </si>
  <si>
    <t>Upload LAKIP 2015 di Website</t>
  </si>
  <si>
    <t>Kegiatan</t>
  </si>
  <si>
    <t>Update Arc 2016</t>
  </si>
  <si>
    <t xml:space="preserve">Print Peta WA untuk SE </t>
  </si>
  <si>
    <t>Upload data Petugas SE di Website</t>
  </si>
  <si>
    <t>Entry susenas</t>
  </si>
  <si>
    <t>Print Peta WB untuk SE</t>
  </si>
  <si>
    <t>Tanggal:</t>
  </si>
  <si>
    <t>Haidir Magribi.</t>
  </si>
  <si>
    <t>Drs.H.Basiran Suwandi</t>
  </si>
  <si>
    <t>NIP. 196010051982031004</t>
  </si>
  <si>
    <t>NIP. 199310012016021001</t>
  </si>
  <si>
    <t>: Maret 2016</t>
  </si>
  <si>
    <t>Update</t>
  </si>
  <si>
    <t>Update Versi Website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</si>
  <si>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</si>
  <si>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</si>
  <si>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</si>
  <si>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</si>
  <si>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Upgreding Website</t>
  </si>
  <si>
    <t>Update Arc</t>
  </si>
  <si>
    <t>Entri Susenas</t>
  </si>
  <si>
    <t>II.B.3b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</si>
</sst>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65">
    <xf numFmtId="0" fontId="0" fillId="0" borderId="0" xfId="0"/>
    <xf numFmtId="0" fontId="4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9" fontId="3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12" xfId="0" applyFont="1" applyFill="1" applyBorder="1" applyAlignment="1">
      <alignment vertical="center" wrapText="1"/>
    </xf>
    <xf numFmtId="0" fontId="0" fillId="0" borderId="0" xfId="0" applyFill="1"/>
    <xf numFmtId="164" fontId="0" fillId="0" borderId="12" xfId="0" applyNumberFormat="1" applyFont="1" applyBorder="1" applyAlignment="1">
      <alignment horizontal="center" vertical="center"/>
    </xf>
    <xf numFmtId="0" fontId="9" fillId="0" borderId="0" xfId="0" applyFont="1" applyFill="1"/>
    <xf numFmtId="9" fontId="6" fillId="0" borderId="12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12" xfId="0" applyBorder="1"/>
    <xf numFmtId="0" fontId="0" fillId="0" borderId="12" xfId="0" applyFont="1" applyBorder="1" applyAlignment="1">
      <alignment horizontal="center" vertical="center"/>
    </xf>
    <xf numFmtId="164" fontId="5" fillId="0" borderId="12" xfId="0" applyNumberFormat="1" applyFont="1" applyFill="1" applyBorder="1" applyAlignment="1">
      <alignment horizontal="center" vertical="center"/>
    </xf>
    <xf numFmtId="0" fontId="5" fillId="0" borderId="12" xfId="0" applyFont="1" applyFill="1" applyBorder="1"/>
    <xf numFmtId="0" fontId="0" fillId="0" borderId="0" xfId="0" applyBorder="1" applyAlignment="1"/>
    <xf numFmtId="164" fontId="0" fillId="0" borderId="31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2" borderId="33" xfId="0" applyNumberFormat="1" applyFont="1" applyFill="1" applyBorder="1" applyAlignment="1">
      <alignment horizontal="center" vertical="center"/>
    </xf>
    <xf numFmtId="0" fontId="0" fillId="0" borderId="39" xfId="0" applyBorder="1"/>
    <xf numFmtId="164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43" fontId="0" fillId="0" borderId="12" xfId="8" applyFont="1" applyBorder="1"/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42" xfId="0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6" fillId="0" borderId="5" xfId="0" applyFont="1" applyFill="1" applyBorder="1" applyAlignment="1">
      <alignment vertical="center" wrapText="1"/>
    </xf>
    <xf numFmtId="0" fontId="6" fillId="0" borderId="26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9" fontId="0" fillId="0" borderId="0" xfId="1" applyFont="1" applyAlignment="1">
      <alignment horizontal="center" vertical="center"/>
    </xf>
    <xf numFmtId="9" fontId="7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6" fillId="0" borderId="12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2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2" fontId="5" fillId="0" borderId="38" xfId="0" applyNumberFormat="1" applyFont="1" applyBorder="1" applyAlignment="1">
      <alignment horizontal="center" vertical="center"/>
    </xf>
    <xf numFmtId="2" fontId="5" fillId="0" borderId="37" xfId="0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6" fillId="0" borderId="3" xfId="0" applyFont="1" applyFill="1" applyBorder="1" applyAlignment="1">
      <alignment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20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vertical="center" wrapText="1"/>
    </xf>
    <xf numFmtId="164" fontId="6" fillId="0" borderId="33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164" fontId="6" fillId="0" borderId="34" xfId="0" applyNumberFormat="1" applyFont="1" applyBorder="1" applyAlignment="1">
      <alignment horizontal="left" vertical="center"/>
    </xf>
    <xf numFmtId="164" fontId="6" fillId="0" borderId="43" xfId="0" applyNumberFormat="1" applyFont="1" applyBorder="1" applyAlignment="1">
      <alignment horizontal="left" vertical="center"/>
    </xf>
    <xf numFmtId="0" fontId="6" fillId="0" borderId="33" xfId="0" applyNumberFormat="1" applyFont="1" applyBorder="1" applyAlignment="1">
      <alignment vertical="center"/>
    </xf>
  </cellXfs>
  <cellStyles count="9">
    <cellStyle name="Comma" xfId="8" builtinId="3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view="pageBreakPreview" zoomScaleNormal="100" zoomScaleSheetLayoutView="100" workbookViewId="0">
      <selection activeCell="D14" sqref="D14"/>
    </sheetView>
  </sheetViews>
  <sheetFormatPr defaultRowHeight="15" x14ac:dyDescent="0.25"/>
  <cols>
    <col min="1" max="1" width="4.7109375" customWidth="1"/>
    <col min="2" max="2" width="13.28515625" customWidth="1"/>
    <col min="3" max="3" width="27.140625" customWidth="1"/>
    <col min="4" max="4" width="9.42578125" bestFit="1" customWidth="1"/>
    <col min="5" max="5" width="8.28515625" customWidth="1"/>
    <col min="6" max="6" width="7.85546875" customWidth="1"/>
    <col min="7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86" t="s">
        <v>0</v>
      </c>
      <c r="I2" s="87"/>
    </row>
    <row r="3" spans="1:9" ht="18.75" x14ac:dyDescent="0.3">
      <c r="A3" s="88" t="s">
        <v>1</v>
      </c>
      <c r="B3" s="88"/>
      <c r="C3" s="88"/>
      <c r="D3" s="88"/>
      <c r="E3" s="88"/>
      <c r="F3" s="88"/>
      <c r="G3" s="88"/>
      <c r="H3" s="88"/>
      <c r="I3" s="88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2</v>
      </c>
      <c r="C5" t="s">
        <v>3</v>
      </c>
    </row>
    <row r="6" spans="1:9" x14ac:dyDescent="0.25">
      <c r="A6" t="s">
        <v>4</v>
      </c>
      <c r="C6" s="21" t="s">
        <v>50</v>
      </c>
    </row>
    <row r="7" spans="1:9" x14ac:dyDescent="0.25">
      <c r="A7" t="s">
        <v>5</v>
      </c>
      <c r="C7" s="21" t="s">
        <v>51</v>
      </c>
    </row>
    <row r="8" spans="1:9" x14ac:dyDescent="0.25">
      <c r="A8" t="s">
        <v>6</v>
      </c>
      <c r="C8" t="s">
        <v>68</v>
      </c>
    </row>
    <row r="9" spans="1:9" x14ac:dyDescent="0.25">
      <c r="A9" s="89" t="s">
        <v>7</v>
      </c>
      <c r="B9" s="91" t="s">
        <v>8</v>
      </c>
      <c r="C9" s="92"/>
      <c r="D9" s="89" t="s">
        <v>9</v>
      </c>
      <c r="E9" s="95" t="s">
        <v>10</v>
      </c>
      <c r="F9" s="96"/>
      <c r="G9" s="97"/>
      <c r="H9" s="98" t="s">
        <v>11</v>
      </c>
      <c r="I9" s="89" t="s">
        <v>12</v>
      </c>
    </row>
    <row r="10" spans="1:9" x14ac:dyDescent="0.25">
      <c r="A10" s="90"/>
      <c r="B10" s="93"/>
      <c r="C10" s="94"/>
      <c r="D10" s="90"/>
      <c r="E10" s="2" t="s">
        <v>13</v>
      </c>
      <c r="F10" s="2" t="s">
        <v>14</v>
      </c>
      <c r="G10" s="2" t="s">
        <v>15</v>
      </c>
      <c r="H10" s="99"/>
      <c r="I10" s="90"/>
    </row>
    <row r="11" spans="1:9" x14ac:dyDescent="0.25">
      <c r="A11" s="3">
        <v>-1</v>
      </c>
      <c r="B11" s="84">
        <f>A11-1</f>
        <v>-2</v>
      </c>
      <c r="C11" s="85"/>
      <c r="D11" s="3">
        <f>B11-1</f>
        <v>-3</v>
      </c>
      <c r="E11" s="3">
        <f>D11-1</f>
        <v>-4</v>
      </c>
      <c r="F11" s="3">
        <f>E11-1</f>
        <v>-5</v>
      </c>
      <c r="G11" s="3">
        <f>F11-1</f>
        <v>-6</v>
      </c>
      <c r="H11" s="3">
        <f>G11-1</f>
        <v>-7</v>
      </c>
      <c r="I11" s="3">
        <f>H11-1</f>
        <v>-8</v>
      </c>
    </row>
    <row r="12" spans="1:9" x14ac:dyDescent="0.25">
      <c r="A12" s="4">
        <v>1</v>
      </c>
      <c r="B12" s="82" t="s">
        <v>75</v>
      </c>
      <c r="C12" s="83"/>
      <c r="D12" s="5" t="s">
        <v>69</v>
      </c>
      <c r="E12" s="6">
        <v>1</v>
      </c>
      <c r="F12" s="6">
        <v>1</v>
      </c>
      <c r="G12" s="7"/>
      <c r="H12" s="8"/>
      <c r="I12" s="8"/>
    </row>
    <row r="13" spans="1:9" x14ac:dyDescent="0.25">
      <c r="A13" s="4">
        <v>2</v>
      </c>
      <c r="B13" s="82" t="s">
        <v>76</v>
      </c>
      <c r="C13" s="83"/>
      <c r="D13" s="5" t="s">
        <v>69</v>
      </c>
      <c r="E13" s="6">
        <v>21</v>
      </c>
      <c r="F13" s="6">
        <v>21</v>
      </c>
      <c r="G13" s="7"/>
      <c r="H13" s="8"/>
      <c r="I13" s="8"/>
    </row>
    <row r="14" spans="1:9" x14ac:dyDescent="0.25">
      <c r="A14" s="4">
        <v>3</v>
      </c>
      <c r="B14" s="100" t="s">
        <v>77</v>
      </c>
      <c r="C14" s="101"/>
      <c r="D14" s="5" t="s">
        <v>32</v>
      </c>
      <c r="E14" s="6">
        <v>40</v>
      </c>
      <c r="F14" s="6">
        <v>40</v>
      </c>
      <c r="G14" s="7"/>
      <c r="H14" s="8"/>
      <c r="I14" s="8"/>
    </row>
    <row r="15" spans="1:9" x14ac:dyDescent="0.25">
      <c r="A15" s="72"/>
      <c r="B15" s="82"/>
      <c r="C15" s="83"/>
      <c r="D15" s="67"/>
      <c r="E15" s="68"/>
      <c r="F15" s="68"/>
      <c r="G15" s="73"/>
      <c r="H15" s="74"/>
      <c r="I15" s="74"/>
    </row>
    <row r="16" spans="1:9" x14ac:dyDescent="0.25">
      <c r="A16" s="9"/>
      <c r="B16" s="10"/>
      <c r="C16" s="11" t="s">
        <v>16</v>
      </c>
      <c r="D16" s="9"/>
      <c r="E16" s="12"/>
      <c r="F16" s="12"/>
      <c r="G16" s="13"/>
      <c r="H16" s="13"/>
      <c r="I16" s="9"/>
    </row>
    <row r="17" spans="1:9" x14ac:dyDescent="0.25">
      <c r="B17" s="14" t="s">
        <v>17</v>
      </c>
    </row>
    <row r="18" spans="1:9" x14ac:dyDescent="0.25">
      <c r="B18" t="s">
        <v>63</v>
      </c>
      <c r="C18" t="s">
        <v>44</v>
      </c>
    </row>
    <row r="20" spans="1:9" x14ac:dyDescent="0.25">
      <c r="A20" s="15"/>
      <c r="B20" s="104" t="s">
        <v>18</v>
      </c>
      <c r="C20" s="104"/>
      <c r="D20" s="15"/>
      <c r="F20" s="104" t="s">
        <v>19</v>
      </c>
      <c r="G20" s="104"/>
      <c r="H20" s="104"/>
    </row>
    <row r="21" spans="1:9" x14ac:dyDescent="0.25">
      <c r="A21" s="15"/>
      <c r="B21" s="104" t="s">
        <v>71</v>
      </c>
      <c r="C21" s="104"/>
      <c r="D21" s="104" t="s">
        <v>72</v>
      </c>
      <c r="E21" s="104"/>
      <c r="F21" s="104"/>
      <c r="G21" s="104"/>
      <c r="H21" s="104"/>
      <c r="I21" s="104"/>
    </row>
    <row r="22" spans="1:9" x14ac:dyDescent="0.25">
      <c r="A22" s="15"/>
      <c r="B22" s="27"/>
      <c r="C22" s="27"/>
      <c r="D22" s="15"/>
      <c r="E22" s="15"/>
      <c r="F22" s="18"/>
      <c r="G22" s="17"/>
      <c r="H22" s="25"/>
    </row>
    <row r="23" spans="1:9" x14ac:dyDescent="0.25">
      <c r="A23" s="15"/>
      <c r="B23" s="15"/>
      <c r="C23" s="16"/>
      <c r="D23" s="15"/>
      <c r="E23" s="15"/>
      <c r="F23" s="18"/>
      <c r="G23" s="17"/>
      <c r="H23" s="25"/>
    </row>
    <row r="24" spans="1:9" x14ac:dyDescent="0.25">
      <c r="A24" s="15"/>
      <c r="B24" s="15"/>
      <c r="D24" s="15"/>
      <c r="E24" s="15"/>
      <c r="F24" s="18"/>
      <c r="G24" s="17"/>
      <c r="H24" s="25"/>
    </row>
    <row r="25" spans="1:9" x14ac:dyDescent="0.25">
      <c r="A25" s="15"/>
      <c r="B25" s="105" t="s">
        <v>65</v>
      </c>
      <c r="C25" s="105"/>
      <c r="D25" s="15"/>
      <c r="E25" s="15"/>
      <c r="F25" s="103" t="s">
        <v>64</v>
      </c>
      <c r="G25" s="103"/>
      <c r="H25" s="103"/>
    </row>
    <row r="26" spans="1:9" ht="15" customHeight="1" x14ac:dyDescent="0.25">
      <c r="A26" s="15"/>
      <c r="B26" s="106" t="s">
        <v>66</v>
      </c>
      <c r="C26" s="106"/>
      <c r="D26" s="15"/>
      <c r="E26" s="15"/>
      <c r="F26" s="102" t="s">
        <v>67</v>
      </c>
      <c r="G26" s="102"/>
      <c r="H26" s="102"/>
    </row>
  </sheetData>
  <mergeCells count="21">
    <mergeCell ref="B14:C14"/>
    <mergeCell ref="F25:H25"/>
    <mergeCell ref="F26:H26"/>
    <mergeCell ref="B20:C20"/>
    <mergeCell ref="B21:C21"/>
    <mergeCell ref="B25:C25"/>
    <mergeCell ref="B26:C26"/>
    <mergeCell ref="B15:C15"/>
    <mergeCell ref="D21:I21"/>
    <mergeCell ref="F20:H20"/>
    <mergeCell ref="B13:C13"/>
    <mergeCell ref="B11:C11"/>
    <mergeCell ref="B12:C12"/>
    <mergeCell ref="H2:I2"/>
    <mergeCell ref="A3:I3"/>
    <mergeCell ref="A9:A10"/>
    <mergeCell ref="B9:C10"/>
    <mergeCell ref="D9:D10"/>
    <mergeCell ref="E9:G9"/>
    <mergeCell ref="H9:H10"/>
    <mergeCell ref="I9:I10"/>
  </mergeCells>
  <printOptions horizontalCentered="1"/>
  <pageMargins left="0.70866141732283472" right="0.43307086614173229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view="pageBreakPreview" zoomScale="80" zoomScaleNormal="100" zoomScaleSheetLayoutView="80" workbookViewId="0">
      <selection activeCell="C3" sqref="C3"/>
    </sheetView>
  </sheetViews>
  <sheetFormatPr defaultRowHeight="15" x14ac:dyDescent="0.25"/>
  <cols>
    <col min="1" max="1" width="9.140625" style="78"/>
    <col min="2" max="2" width="14.140625" style="37" customWidth="1"/>
    <col min="3" max="3" width="44.42578125" customWidth="1"/>
    <col min="4" max="4" width="9.5703125" bestFit="1" customWidth="1"/>
    <col min="5" max="5" width="6.5703125" customWidth="1"/>
    <col min="6" max="6" width="7.85546875" bestFit="1" customWidth="1"/>
    <col min="7" max="7" width="10.28515625" customWidth="1"/>
    <col min="8" max="8" width="10.42578125" customWidth="1"/>
  </cols>
  <sheetData>
    <row r="1" spans="1:19" ht="15.75" x14ac:dyDescent="0.25">
      <c r="B1" s="126" t="s">
        <v>23</v>
      </c>
      <c r="C1" s="126"/>
      <c r="D1" s="126"/>
      <c r="E1" s="126"/>
      <c r="F1" s="126"/>
      <c r="G1" s="126"/>
      <c r="H1" s="126"/>
    </row>
    <row r="2" spans="1:19" x14ac:dyDescent="0.25">
      <c r="B2" s="36"/>
      <c r="C2" s="19"/>
      <c r="D2" s="19"/>
      <c r="E2" s="18"/>
      <c r="F2" s="18"/>
      <c r="G2" s="20"/>
    </row>
    <row r="3" spans="1:19" x14ac:dyDescent="0.25">
      <c r="B3" s="21" t="s">
        <v>24</v>
      </c>
      <c r="C3" t="s">
        <v>3</v>
      </c>
      <c r="D3" s="21"/>
      <c r="E3" s="18"/>
      <c r="F3" s="18"/>
      <c r="G3" s="20"/>
    </row>
    <row r="4" spans="1:19" x14ac:dyDescent="0.25">
      <c r="B4" s="21" t="s">
        <v>4</v>
      </c>
      <c r="C4" s="21" t="s">
        <v>50</v>
      </c>
      <c r="D4" s="21"/>
      <c r="E4" s="18"/>
      <c r="F4" s="18"/>
      <c r="G4" s="20"/>
    </row>
    <row r="5" spans="1:19" x14ac:dyDescent="0.25">
      <c r="B5" s="21" t="s">
        <v>25</v>
      </c>
      <c r="C5" s="21" t="s">
        <v>51</v>
      </c>
      <c r="D5" s="21"/>
      <c r="E5" s="18"/>
      <c r="F5" s="18"/>
      <c r="G5" s="20"/>
    </row>
    <row r="6" spans="1:19" x14ac:dyDescent="0.25">
      <c r="B6" s="21" t="s">
        <v>6</v>
      </c>
      <c r="C6" s="22" t="s">
        <v>47</v>
      </c>
      <c r="D6" s="22"/>
      <c r="E6" s="18"/>
      <c r="F6" s="18"/>
      <c r="G6" s="20"/>
    </row>
    <row r="7" spans="1:19" x14ac:dyDescent="0.25">
      <c r="B7" s="36"/>
      <c r="C7" s="19"/>
      <c r="D7" s="19"/>
      <c r="E7" s="18"/>
      <c r="F7" s="18"/>
      <c r="G7" s="20"/>
    </row>
    <row r="8" spans="1:19" x14ac:dyDescent="0.25">
      <c r="A8" s="124" t="s">
        <v>26</v>
      </c>
      <c r="B8" s="124"/>
      <c r="C8" s="127" t="s">
        <v>27</v>
      </c>
      <c r="D8" s="127" t="s">
        <v>28</v>
      </c>
      <c r="E8" s="127" t="s">
        <v>29</v>
      </c>
      <c r="F8" s="128" t="s">
        <v>14</v>
      </c>
      <c r="G8" s="128"/>
      <c r="H8" s="129" t="s">
        <v>12</v>
      </c>
    </row>
    <row r="9" spans="1:19" x14ac:dyDescent="0.25">
      <c r="A9" s="124"/>
      <c r="B9" s="124"/>
      <c r="C9" s="127"/>
      <c r="D9" s="127"/>
      <c r="E9" s="127"/>
      <c r="F9" s="23" t="s">
        <v>30</v>
      </c>
      <c r="G9" s="24" t="s">
        <v>15</v>
      </c>
      <c r="H9" s="129"/>
      <c r="N9" s="29"/>
      <c r="O9" s="29"/>
      <c r="P9" s="29"/>
      <c r="Q9" s="29"/>
      <c r="R9" s="29"/>
      <c r="S9" s="29"/>
    </row>
    <row r="10" spans="1:19" s="34" customFormat="1" x14ac:dyDescent="0.25">
      <c r="A10" s="125">
        <v>-1</v>
      </c>
      <c r="B10" s="125"/>
      <c r="C10" s="30">
        <v>-2</v>
      </c>
      <c r="D10" s="30">
        <v>-3</v>
      </c>
      <c r="E10" s="30">
        <v>-4</v>
      </c>
      <c r="F10" s="30">
        <v>-5</v>
      </c>
      <c r="G10" s="30">
        <v>-6</v>
      </c>
      <c r="H10" s="30">
        <v>-7</v>
      </c>
      <c r="N10" s="35"/>
      <c r="O10" s="35"/>
      <c r="P10" s="35"/>
      <c r="Q10" s="35"/>
      <c r="R10" s="35"/>
      <c r="S10" s="35"/>
    </row>
    <row r="11" spans="1:19" s="31" customFormat="1" x14ac:dyDescent="0.25">
      <c r="A11" s="155" t="s">
        <v>41</v>
      </c>
      <c r="B11" s="159">
        <v>42447</v>
      </c>
      <c r="C11" s="28" t="s">
        <v>49</v>
      </c>
      <c r="D11" s="28" t="s">
        <v>31</v>
      </c>
      <c r="E11" s="77">
        <v>1</v>
      </c>
      <c r="F11" s="77">
        <v>1</v>
      </c>
      <c r="G11" s="32">
        <f t="shared" ref="G11" si="0">F11/E11</f>
        <v>1</v>
      </c>
      <c r="H11" s="44"/>
    </row>
    <row r="12" spans="1:19" s="31" customFormat="1" x14ac:dyDescent="0.25">
      <c r="A12" s="118" t="s">
        <v>37</v>
      </c>
      <c r="B12" s="156">
        <v>42450</v>
      </c>
      <c r="C12" s="28" t="s">
        <v>36</v>
      </c>
      <c r="D12" s="53" t="s">
        <v>31</v>
      </c>
      <c r="E12" s="52">
        <v>1</v>
      </c>
      <c r="F12" s="52">
        <v>1</v>
      </c>
      <c r="G12" s="32">
        <f t="shared" ref="G12:G14" si="1">F12/E12</f>
        <v>1</v>
      </c>
      <c r="H12" s="45"/>
    </row>
    <row r="13" spans="1:19" s="29" customFormat="1" x14ac:dyDescent="0.25">
      <c r="A13" s="119"/>
      <c r="B13" s="157"/>
      <c r="C13" s="28" t="s">
        <v>52</v>
      </c>
      <c r="D13" s="54" t="s">
        <v>31</v>
      </c>
      <c r="E13" s="76">
        <v>1</v>
      </c>
      <c r="F13" s="76">
        <v>1</v>
      </c>
      <c r="G13" s="32">
        <f t="shared" si="1"/>
        <v>1</v>
      </c>
      <c r="H13" s="45"/>
    </row>
    <row r="14" spans="1:19" s="29" customFormat="1" x14ac:dyDescent="0.25">
      <c r="A14" s="120"/>
      <c r="B14" s="158"/>
      <c r="C14" s="28" t="s">
        <v>53</v>
      </c>
      <c r="D14" s="79" t="s">
        <v>31</v>
      </c>
      <c r="E14" s="76">
        <v>1</v>
      </c>
      <c r="F14" s="76">
        <v>1</v>
      </c>
      <c r="G14" s="32">
        <f t="shared" si="1"/>
        <v>1</v>
      </c>
      <c r="H14" s="45"/>
    </row>
    <row r="15" spans="1:19" x14ac:dyDescent="0.25">
      <c r="A15" s="118" t="s">
        <v>38</v>
      </c>
      <c r="B15" s="156">
        <v>42451</v>
      </c>
      <c r="C15" s="28" t="s">
        <v>36</v>
      </c>
      <c r="D15" s="79" t="s">
        <v>31</v>
      </c>
      <c r="E15" s="76">
        <v>1</v>
      </c>
      <c r="F15" s="76">
        <v>1</v>
      </c>
      <c r="G15" s="32">
        <f t="shared" ref="G15:G16" si="2">F15/E15</f>
        <v>1</v>
      </c>
      <c r="H15" s="45"/>
    </row>
    <row r="16" spans="1:19" x14ac:dyDescent="0.25">
      <c r="A16" s="119"/>
      <c r="B16" s="157"/>
      <c r="C16" s="28" t="s">
        <v>52</v>
      </c>
      <c r="D16" s="79" t="s">
        <v>31</v>
      </c>
      <c r="E16" s="76">
        <v>1</v>
      </c>
      <c r="F16" s="76">
        <v>1</v>
      </c>
      <c r="G16" s="32">
        <f t="shared" si="2"/>
        <v>1</v>
      </c>
      <c r="H16" s="45"/>
    </row>
    <row r="17" spans="1:8" x14ac:dyDescent="0.25">
      <c r="A17" s="120"/>
      <c r="B17" s="158"/>
      <c r="C17" s="28" t="s">
        <v>54</v>
      </c>
      <c r="D17" s="80" t="s">
        <v>31</v>
      </c>
      <c r="E17" s="76">
        <v>1</v>
      </c>
      <c r="F17" s="76">
        <v>1</v>
      </c>
      <c r="G17" s="32">
        <f t="shared" ref="G17" si="3">F17/E17</f>
        <v>1</v>
      </c>
      <c r="H17" s="45"/>
    </row>
    <row r="18" spans="1:8" x14ac:dyDescent="0.25">
      <c r="A18" s="118" t="s">
        <v>39</v>
      </c>
      <c r="B18" s="156">
        <v>42452</v>
      </c>
      <c r="C18" s="28" t="s">
        <v>52</v>
      </c>
      <c r="D18" s="79" t="s">
        <v>31</v>
      </c>
      <c r="E18" s="76">
        <v>1</v>
      </c>
      <c r="F18" s="76">
        <v>1</v>
      </c>
      <c r="G18" s="32">
        <f t="shared" ref="G18:G20" si="4">F18/E18</f>
        <v>1</v>
      </c>
      <c r="H18" s="45"/>
    </row>
    <row r="19" spans="1:8" x14ac:dyDescent="0.25">
      <c r="A19" s="119"/>
      <c r="B19" s="157"/>
      <c r="C19" s="28" t="s">
        <v>36</v>
      </c>
      <c r="D19" s="79" t="s">
        <v>31</v>
      </c>
      <c r="E19" s="76">
        <v>1</v>
      </c>
      <c r="F19" s="76">
        <v>1</v>
      </c>
      <c r="G19" s="32">
        <f t="shared" si="4"/>
        <v>1</v>
      </c>
      <c r="H19" s="45"/>
    </row>
    <row r="20" spans="1:8" x14ac:dyDescent="0.25">
      <c r="A20" s="120"/>
      <c r="B20" s="158"/>
      <c r="C20" s="28" t="s">
        <v>55</v>
      </c>
      <c r="D20" s="79" t="s">
        <v>32</v>
      </c>
      <c r="E20" s="76">
        <v>1</v>
      </c>
      <c r="F20" s="76">
        <v>1</v>
      </c>
      <c r="G20" s="32">
        <f t="shared" si="4"/>
        <v>1</v>
      </c>
      <c r="H20" s="45"/>
    </row>
    <row r="21" spans="1:8" x14ac:dyDescent="0.25">
      <c r="A21" s="118" t="s">
        <v>40</v>
      </c>
      <c r="B21" s="156">
        <v>42453</v>
      </c>
      <c r="C21" s="28" t="s">
        <v>52</v>
      </c>
      <c r="D21" s="79" t="s">
        <v>31</v>
      </c>
      <c r="E21" s="76">
        <v>1</v>
      </c>
      <c r="F21" s="76">
        <v>1</v>
      </c>
      <c r="G21" s="32">
        <f t="shared" ref="G21:G25" si="5">F21/E21</f>
        <v>1</v>
      </c>
      <c r="H21" s="45"/>
    </row>
    <row r="22" spans="1:8" x14ac:dyDescent="0.25">
      <c r="A22" s="119"/>
      <c r="B22" s="157"/>
      <c r="C22" s="28" t="s">
        <v>36</v>
      </c>
      <c r="D22" s="79" t="s">
        <v>31</v>
      </c>
      <c r="E22" s="76">
        <v>1</v>
      </c>
      <c r="F22" s="76">
        <v>1</v>
      </c>
      <c r="G22" s="32">
        <f t="shared" si="5"/>
        <v>1</v>
      </c>
      <c r="H22" s="45"/>
    </row>
    <row r="23" spans="1:8" x14ac:dyDescent="0.25">
      <c r="A23" s="119"/>
      <c r="B23" s="157"/>
      <c r="C23" s="28" t="s">
        <v>56</v>
      </c>
      <c r="D23" s="79" t="s">
        <v>57</v>
      </c>
      <c r="E23" s="76">
        <v>1</v>
      </c>
      <c r="F23" s="76">
        <v>1</v>
      </c>
      <c r="G23" s="32">
        <f t="shared" si="5"/>
        <v>1</v>
      </c>
      <c r="H23" s="45"/>
    </row>
    <row r="24" spans="1:8" x14ac:dyDescent="0.25">
      <c r="A24" s="119"/>
      <c r="B24" s="157"/>
      <c r="C24" s="28" t="s">
        <v>58</v>
      </c>
      <c r="D24" s="79" t="s">
        <v>31</v>
      </c>
      <c r="E24" s="76">
        <v>21</v>
      </c>
      <c r="F24" s="76">
        <v>21</v>
      </c>
      <c r="G24" s="32">
        <f t="shared" si="5"/>
        <v>1</v>
      </c>
      <c r="H24" s="44"/>
    </row>
    <row r="25" spans="1:8" x14ac:dyDescent="0.25">
      <c r="A25" s="120"/>
      <c r="B25" s="158"/>
      <c r="C25" s="28" t="s">
        <v>59</v>
      </c>
      <c r="D25" s="79" t="s">
        <v>32</v>
      </c>
      <c r="E25" s="76">
        <v>62</v>
      </c>
      <c r="F25" s="76">
        <v>62</v>
      </c>
      <c r="G25" s="32">
        <f t="shared" si="5"/>
        <v>1</v>
      </c>
      <c r="H25" s="44"/>
    </row>
    <row r="26" spans="1:8" x14ac:dyDescent="0.25">
      <c r="A26" s="117" t="s">
        <v>41</v>
      </c>
      <c r="B26" s="107">
        <v>42454</v>
      </c>
      <c r="C26" s="108" t="s">
        <v>42</v>
      </c>
      <c r="D26" s="109"/>
      <c r="E26" s="109"/>
      <c r="F26" s="109"/>
      <c r="G26" s="110"/>
      <c r="H26" s="69"/>
    </row>
    <row r="27" spans="1:8" x14ac:dyDescent="0.25">
      <c r="A27" s="117"/>
      <c r="B27" s="107"/>
      <c r="C27" s="111"/>
      <c r="D27" s="112"/>
      <c r="E27" s="112"/>
      <c r="F27" s="112"/>
      <c r="G27" s="113"/>
      <c r="H27" s="70"/>
    </row>
    <row r="28" spans="1:8" x14ac:dyDescent="0.25">
      <c r="A28" s="117"/>
      <c r="B28" s="107"/>
      <c r="C28" s="114"/>
      <c r="D28" s="115"/>
      <c r="E28" s="115"/>
      <c r="F28" s="115"/>
      <c r="G28" s="116"/>
      <c r="H28" s="71"/>
    </row>
    <row r="29" spans="1:8" x14ac:dyDescent="0.25">
      <c r="A29" s="118" t="s">
        <v>37</v>
      </c>
      <c r="B29" s="156">
        <v>42457</v>
      </c>
      <c r="C29" s="28" t="s">
        <v>52</v>
      </c>
      <c r="D29" s="79" t="s">
        <v>31</v>
      </c>
      <c r="E29" s="76">
        <v>1</v>
      </c>
      <c r="F29" s="76">
        <v>1</v>
      </c>
      <c r="G29" s="32">
        <f t="shared" ref="G29:G33" si="6">F29/E29</f>
        <v>1</v>
      </c>
      <c r="H29" s="45"/>
    </row>
    <row r="30" spans="1:8" x14ac:dyDescent="0.25">
      <c r="A30" s="119"/>
      <c r="B30" s="157"/>
      <c r="C30" s="28" t="s">
        <v>70</v>
      </c>
      <c r="D30" s="80" t="s">
        <v>57</v>
      </c>
      <c r="E30" s="76">
        <v>1</v>
      </c>
      <c r="F30" s="76">
        <v>1</v>
      </c>
      <c r="G30" s="32">
        <f t="shared" si="6"/>
        <v>1</v>
      </c>
      <c r="H30" s="45"/>
    </row>
    <row r="31" spans="1:8" x14ac:dyDescent="0.25">
      <c r="A31" s="119"/>
      <c r="B31" s="157"/>
      <c r="C31" s="28" t="s">
        <v>36</v>
      </c>
      <c r="D31" s="79" t="s">
        <v>31</v>
      </c>
      <c r="E31" s="76">
        <v>1</v>
      </c>
      <c r="F31" s="76">
        <v>1</v>
      </c>
      <c r="G31" s="32">
        <f t="shared" si="6"/>
        <v>1</v>
      </c>
      <c r="H31" s="45"/>
    </row>
    <row r="32" spans="1:8" x14ac:dyDescent="0.25">
      <c r="A32" s="119"/>
      <c r="B32" s="157"/>
      <c r="C32" s="28" t="s">
        <v>60</v>
      </c>
      <c r="D32" s="79" t="s">
        <v>31</v>
      </c>
      <c r="E32" s="76">
        <v>1</v>
      </c>
      <c r="F32" s="76">
        <v>1</v>
      </c>
      <c r="G32" s="32">
        <f t="shared" si="6"/>
        <v>1</v>
      </c>
      <c r="H32" s="45"/>
    </row>
    <row r="33" spans="1:8" x14ac:dyDescent="0.25">
      <c r="A33" s="120"/>
      <c r="B33" s="158"/>
      <c r="C33" s="28" t="s">
        <v>45</v>
      </c>
      <c r="D33" s="79" t="s">
        <v>32</v>
      </c>
      <c r="E33" s="76">
        <v>10</v>
      </c>
      <c r="F33" s="76">
        <v>10</v>
      </c>
      <c r="G33" s="32">
        <f t="shared" si="6"/>
        <v>1</v>
      </c>
      <c r="H33" s="44"/>
    </row>
    <row r="34" spans="1:8" x14ac:dyDescent="0.25">
      <c r="A34" s="118" t="s">
        <v>38</v>
      </c>
      <c r="B34" s="156">
        <v>42458</v>
      </c>
      <c r="C34" s="28" t="s">
        <v>52</v>
      </c>
      <c r="D34" s="79" t="s">
        <v>31</v>
      </c>
      <c r="E34" s="76">
        <v>1</v>
      </c>
      <c r="F34" s="76">
        <v>1</v>
      </c>
      <c r="G34" s="32">
        <f t="shared" ref="G34:G37" si="7">F34/E34</f>
        <v>1</v>
      </c>
      <c r="H34" s="45"/>
    </row>
    <row r="35" spans="1:8" x14ac:dyDescent="0.25">
      <c r="A35" s="119"/>
      <c r="B35" s="157"/>
      <c r="C35" s="28" t="s">
        <v>36</v>
      </c>
      <c r="D35" s="79" t="s">
        <v>31</v>
      </c>
      <c r="E35" s="76">
        <v>1</v>
      </c>
      <c r="F35" s="76">
        <v>1</v>
      </c>
      <c r="G35" s="32">
        <f t="shared" si="7"/>
        <v>1</v>
      </c>
      <c r="H35" s="45"/>
    </row>
    <row r="36" spans="1:8" x14ac:dyDescent="0.25">
      <c r="A36" s="119"/>
      <c r="B36" s="157"/>
      <c r="C36" s="28" t="s">
        <v>62</v>
      </c>
      <c r="D36" s="80" t="s">
        <v>32</v>
      </c>
      <c r="E36" s="76">
        <v>32</v>
      </c>
      <c r="F36" s="76">
        <v>32</v>
      </c>
      <c r="G36" s="32">
        <f t="shared" si="7"/>
        <v>1</v>
      </c>
      <c r="H36" s="45"/>
    </row>
    <row r="37" spans="1:8" x14ac:dyDescent="0.25">
      <c r="A37" s="120"/>
      <c r="B37" s="158"/>
      <c r="C37" s="28" t="s">
        <v>61</v>
      </c>
      <c r="D37" s="79" t="s">
        <v>32</v>
      </c>
      <c r="E37" s="76">
        <v>10</v>
      </c>
      <c r="F37" s="76">
        <v>10</v>
      </c>
      <c r="G37" s="32">
        <f t="shared" si="7"/>
        <v>1</v>
      </c>
      <c r="H37" s="45"/>
    </row>
    <row r="38" spans="1:8" x14ac:dyDescent="0.25">
      <c r="A38" s="118" t="s">
        <v>39</v>
      </c>
      <c r="B38" s="156">
        <v>42459</v>
      </c>
      <c r="C38" s="28" t="s">
        <v>52</v>
      </c>
      <c r="D38" s="79" t="s">
        <v>31</v>
      </c>
      <c r="E38" s="76">
        <v>1</v>
      </c>
      <c r="F38" s="76">
        <v>1</v>
      </c>
      <c r="G38" s="32">
        <f t="shared" ref="G38:G42" si="8">F38/E38</f>
        <v>1</v>
      </c>
      <c r="H38" s="45"/>
    </row>
    <row r="39" spans="1:8" x14ac:dyDescent="0.25">
      <c r="A39" s="119"/>
      <c r="B39" s="157"/>
      <c r="C39" s="28" t="s">
        <v>36</v>
      </c>
      <c r="D39" s="79" t="s">
        <v>31</v>
      </c>
      <c r="E39" s="76">
        <v>1</v>
      </c>
      <c r="F39" s="76">
        <v>1</v>
      </c>
      <c r="G39" s="32">
        <f t="shared" si="8"/>
        <v>1</v>
      </c>
      <c r="H39" s="45"/>
    </row>
    <row r="40" spans="1:8" x14ac:dyDescent="0.25">
      <c r="A40" s="119"/>
      <c r="B40" s="157"/>
      <c r="C40" s="28" t="s">
        <v>62</v>
      </c>
      <c r="D40" s="80" t="s">
        <v>32</v>
      </c>
      <c r="E40" s="76">
        <v>20</v>
      </c>
      <c r="F40" s="76">
        <v>20</v>
      </c>
      <c r="G40" s="32">
        <f t="shared" si="8"/>
        <v>1</v>
      </c>
      <c r="H40" s="45"/>
    </row>
    <row r="41" spans="1:8" x14ac:dyDescent="0.25">
      <c r="A41" s="119"/>
      <c r="B41" s="157"/>
      <c r="C41" s="28" t="s">
        <v>45</v>
      </c>
      <c r="D41" s="79" t="s">
        <v>32</v>
      </c>
      <c r="E41" s="76">
        <v>10</v>
      </c>
      <c r="F41" s="76">
        <v>10</v>
      </c>
      <c r="G41" s="32">
        <f t="shared" si="8"/>
        <v>1</v>
      </c>
      <c r="H41" s="44"/>
    </row>
    <row r="42" spans="1:8" x14ac:dyDescent="0.25">
      <c r="A42" s="120"/>
      <c r="B42" s="158"/>
      <c r="C42" s="28" t="s">
        <v>46</v>
      </c>
      <c r="D42" s="79" t="s">
        <v>32</v>
      </c>
      <c r="E42" s="76">
        <v>4</v>
      </c>
      <c r="F42" s="76">
        <v>4</v>
      </c>
      <c r="G42" s="32">
        <f t="shared" si="8"/>
        <v>1</v>
      </c>
      <c r="H42" s="44"/>
    </row>
    <row r="43" spans="1:8" x14ac:dyDescent="0.25">
      <c r="A43" s="118" t="s">
        <v>40</v>
      </c>
      <c r="B43" s="156">
        <v>42460</v>
      </c>
      <c r="C43" s="28" t="s">
        <v>52</v>
      </c>
      <c r="D43" s="79" t="s">
        <v>31</v>
      </c>
      <c r="E43" s="76">
        <v>1</v>
      </c>
      <c r="F43" s="76">
        <v>1</v>
      </c>
      <c r="G43" s="32">
        <f t="shared" ref="G43:G47" si="9">F43/E43</f>
        <v>1</v>
      </c>
      <c r="H43" s="45"/>
    </row>
    <row r="44" spans="1:8" x14ac:dyDescent="0.25">
      <c r="A44" s="119"/>
      <c r="B44" s="157"/>
      <c r="C44" s="28" t="s">
        <v>36</v>
      </c>
      <c r="D44" s="79" t="s">
        <v>31</v>
      </c>
      <c r="E44" s="76">
        <v>1</v>
      </c>
      <c r="F44" s="76">
        <v>1</v>
      </c>
      <c r="G44" s="32">
        <f t="shared" si="9"/>
        <v>1</v>
      </c>
      <c r="H44" s="45"/>
    </row>
    <row r="45" spans="1:8" x14ac:dyDescent="0.25">
      <c r="A45" s="119"/>
      <c r="B45" s="157"/>
      <c r="C45" s="28" t="s">
        <v>62</v>
      </c>
      <c r="D45" s="80" t="s">
        <v>32</v>
      </c>
      <c r="E45" s="76">
        <v>30</v>
      </c>
      <c r="F45" s="76">
        <v>30</v>
      </c>
      <c r="G45" s="32">
        <f t="shared" si="9"/>
        <v>1</v>
      </c>
      <c r="H45" s="45"/>
    </row>
    <row r="46" spans="1:8" x14ac:dyDescent="0.25">
      <c r="A46" s="119"/>
      <c r="B46" s="157"/>
      <c r="C46" s="28" t="s">
        <v>45</v>
      </c>
      <c r="D46" s="79" t="s">
        <v>32</v>
      </c>
      <c r="E46" s="76">
        <v>10</v>
      </c>
      <c r="F46" s="76">
        <v>10</v>
      </c>
      <c r="G46" s="32">
        <f t="shared" si="9"/>
        <v>1</v>
      </c>
      <c r="H46" s="44"/>
    </row>
    <row r="47" spans="1:8" x14ac:dyDescent="0.25">
      <c r="A47" s="120"/>
      <c r="B47" s="158"/>
      <c r="C47" s="28" t="s">
        <v>46</v>
      </c>
      <c r="D47" s="79" t="s">
        <v>32</v>
      </c>
      <c r="E47" s="76">
        <v>2</v>
      </c>
      <c r="F47" s="76">
        <v>2</v>
      </c>
      <c r="G47" s="32">
        <f t="shared" si="9"/>
        <v>1</v>
      </c>
      <c r="H47" s="44"/>
    </row>
    <row r="48" spans="1:8" x14ac:dyDescent="0.25">
      <c r="B48" s="61"/>
      <c r="C48" s="62"/>
      <c r="D48" s="60"/>
      <c r="E48" s="61"/>
      <c r="F48" s="61"/>
      <c r="G48" s="63"/>
      <c r="H48" s="64"/>
    </row>
    <row r="49" spans="2:8" x14ac:dyDescent="0.25">
      <c r="B49" s="60"/>
      <c r="C49" s="60"/>
      <c r="D49" s="60"/>
      <c r="E49" s="60"/>
      <c r="F49" s="60"/>
      <c r="G49" s="60"/>
      <c r="H49" s="60"/>
    </row>
    <row r="50" spans="2:8" x14ac:dyDescent="0.25">
      <c r="B50" s="122" t="s">
        <v>17</v>
      </c>
      <c r="C50" s="122"/>
      <c r="D50" s="25"/>
      <c r="E50" s="26"/>
      <c r="F50" s="18"/>
      <c r="G50" s="17"/>
      <c r="H50" s="25"/>
    </row>
    <row r="51" spans="2:8" x14ac:dyDescent="0.25">
      <c r="B51" s="123" t="s">
        <v>48</v>
      </c>
      <c r="C51" s="123"/>
      <c r="D51" s="25"/>
      <c r="E51" s="57"/>
      <c r="F51" s="18"/>
      <c r="G51" s="56"/>
      <c r="H51" s="25"/>
    </row>
    <row r="52" spans="2:8" x14ac:dyDescent="0.25">
      <c r="B52" s="38"/>
      <c r="C52" s="25"/>
      <c r="D52" s="25"/>
      <c r="E52" s="57"/>
      <c r="F52" s="18"/>
      <c r="G52" s="56"/>
      <c r="H52" s="25"/>
    </row>
    <row r="53" spans="2:8" x14ac:dyDescent="0.25">
      <c r="B53" s="121" t="s">
        <v>18</v>
      </c>
      <c r="C53" s="121"/>
      <c r="D53" s="15"/>
    </row>
    <row r="54" spans="2:8" x14ac:dyDescent="0.25">
      <c r="B54" s="46"/>
      <c r="C54" s="75" t="s">
        <v>71</v>
      </c>
      <c r="F54" s="81" t="s">
        <v>73</v>
      </c>
      <c r="G54" s="161"/>
      <c r="H54" s="161"/>
    </row>
    <row r="55" spans="2:8" x14ac:dyDescent="0.25">
      <c r="B55" s="59"/>
      <c r="C55" s="59"/>
      <c r="E55" s="15"/>
      <c r="F55" s="81" t="s">
        <v>74</v>
      </c>
      <c r="G55" s="58"/>
      <c r="H55" s="58"/>
    </row>
    <row r="56" spans="2:8" x14ac:dyDescent="0.25">
      <c r="B56" s="59"/>
      <c r="C56" s="59"/>
      <c r="D56" s="15"/>
      <c r="E56" s="15"/>
      <c r="F56" s="58"/>
      <c r="G56" s="58"/>
      <c r="H56" s="58"/>
    </row>
    <row r="57" spans="2:8" x14ac:dyDescent="0.25">
      <c r="B57" s="38"/>
      <c r="C57" s="25"/>
      <c r="D57" s="25"/>
      <c r="E57" s="26"/>
      <c r="F57" s="18"/>
      <c r="G57" s="17"/>
      <c r="H57" s="25"/>
    </row>
    <row r="58" spans="2:8" ht="15" customHeight="1" x14ac:dyDescent="0.25">
      <c r="B58" s="105" t="s">
        <v>65</v>
      </c>
      <c r="C58" s="105"/>
      <c r="D58" s="105"/>
      <c r="E58" s="105"/>
      <c r="F58" s="103" t="s">
        <v>64</v>
      </c>
      <c r="G58" s="103"/>
      <c r="H58" s="103"/>
    </row>
    <row r="59" spans="2:8" x14ac:dyDescent="0.25">
      <c r="B59" s="106" t="s">
        <v>66</v>
      </c>
      <c r="C59" s="106"/>
      <c r="D59" s="106"/>
      <c r="E59" s="106"/>
      <c r="F59" s="102" t="s">
        <v>67</v>
      </c>
      <c r="G59" s="102"/>
      <c r="H59" s="102"/>
    </row>
  </sheetData>
  <mergeCells count="34">
    <mergeCell ref="A12:A14"/>
    <mergeCell ref="B12:B14"/>
    <mergeCell ref="A15:A17"/>
    <mergeCell ref="B15:B17"/>
    <mergeCell ref="A18:A20"/>
    <mergeCell ref="B18:B20"/>
    <mergeCell ref="A21:A25"/>
    <mergeCell ref="B21:B25"/>
    <mergeCell ref="A29:A33"/>
    <mergeCell ref="B29:B33"/>
    <mergeCell ref="A34:A37"/>
    <mergeCell ref="B34:B37"/>
    <mergeCell ref="A38:A42"/>
    <mergeCell ref="B38:B42"/>
    <mergeCell ref="A8:B9"/>
    <mergeCell ref="A10:B10"/>
    <mergeCell ref="B1:H1"/>
    <mergeCell ref="C8:C9"/>
    <mergeCell ref="D8:D9"/>
    <mergeCell ref="E8:E9"/>
    <mergeCell ref="F8:G8"/>
    <mergeCell ref="H8:H9"/>
    <mergeCell ref="F58:H58"/>
    <mergeCell ref="F59:H59"/>
    <mergeCell ref="B58:E58"/>
    <mergeCell ref="B59:E59"/>
    <mergeCell ref="B26:B28"/>
    <mergeCell ref="B50:C50"/>
    <mergeCell ref="B51:C51"/>
    <mergeCell ref="B43:B47"/>
    <mergeCell ref="B53:C53"/>
    <mergeCell ref="A43:A47"/>
    <mergeCell ref="C26:G28"/>
    <mergeCell ref="A26:A28"/>
  </mergeCells>
  <printOptions horizontalCentered="1"/>
  <pageMargins left="0.70866141732283472" right="0.27559055118110237" top="0.5" bottom="0.74803149606299213" header="0.31496062992125984" footer="0.31496062992125984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view="pageBreakPreview" topLeftCell="A7" zoomScale="80" zoomScaleNormal="80" zoomScaleSheetLayoutView="80" workbookViewId="0">
      <selection activeCell="I14" sqref="I14"/>
    </sheetView>
  </sheetViews>
  <sheetFormatPr defaultRowHeight="15" x14ac:dyDescent="0.25"/>
  <cols>
    <col min="1" max="1" width="4.7109375" customWidth="1"/>
    <col min="2" max="2" width="13.28515625" customWidth="1"/>
    <col min="3" max="3" width="22.85546875" customWidth="1"/>
    <col min="4" max="4" width="13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33"/>
    <col min="15" max="15" width="18.5703125" style="33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H2" s="86" t="s">
        <v>20</v>
      </c>
      <c r="I2" s="87"/>
    </row>
    <row r="3" spans="1:25" ht="18.75" x14ac:dyDescent="0.3">
      <c r="A3" s="88" t="s">
        <v>35</v>
      </c>
      <c r="B3" s="88"/>
      <c r="C3" s="88"/>
      <c r="D3" s="88"/>
      <c r="E3" s="88"/>
      <c r="F3" s="88"/>
      <c r="G3" s="88"/>
      <c r="H3" s="88"/>
      <c r="I3" s="88"/>
    </row>
    <row r="4" spans="1:25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25" x14ac:dyDescent="0.25">
      <c r="A5" s="123" t="s">
        <v>2</v>
      </c>
      <c r="B5" s="123"/>
      <c r="C5" t="s">
        <v>3</v>
      </c>
    </row>
    <row r="6" spans="1:25" x14ac:dyDescent="0.25">
      <c r="A6" s="123" t="s">
        <v>4</v>
      </c>
      <c r="B6" s="123"/>
      <c r="C6" s="21" t="s">
        <v>50</v>
      </c>
    </row>
    <row r="7" spans="1:25" x14ac:dyDescent="0.25">
      <c r="A7" s="123" t="s">
        <v>5</v>
      </c>
      <c r="B7" s="123"/>
      <c r="C7" s="21" t="s">
        <v>51</v>
      </c>
    </row>
    <row r="8" spans="1:25" x14ac:dyDescent="0.25">
      <c r="A8" s="123" t="s">
        <v>6</v>
      </c>
      <c r="B8" s="123"/>
      <c r="C8" t="s">
        <v>68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25" ht="15.75" customHeight="1" thickBot="1" x14ac:dyDescent="0.3">
      <c r="L9" s="40"/>
      <c r="M9" s="46"/>
      <c r="N9" s="46"/>
      <c r="O9" s="46"/>
      <c r="P9" s="46"/>
      <c r="Q9" s="66"/>
      <c r="R9" s="66"/>
      <c r="S9" s="66"/>
      <c r="T9" s="66"/>
      <c r="U9" s="66"/>
      <c r="V9" s="66"/>
      <c r="W9" s="66"/>
      <c r="X9" s="66"/>
      <c r="Y9" s="66"/>
    </row>
    <row r="10" spans="1:25" ht="15" customHeight="1" x14ac:dyDescent="0.25">
      <c r="A10" s="130" t="s">
        <v>7</v>
      </c>
      <c r="B10" s="132" t="s">
        <v>8</v>
      </c>
      <c r="C10" s="132"/>
      <c r="D10" s="134" t="s">
        <v>28</v>
      </c>
      <c r="E10" s="134" t="s">
        <v>10</v>
      </c>
      <c r="F10" s="134"/>
      <c r="G10" s="134"/>
      <c r="H10" s="136" t="s">
        <v>11</v>
      </c>
      <c r="I10" s="151" t="s">
        <v>33</v>
      </c>
      <c r="J10" s="151" t="s">
        <v>34</v>
      </c>
      <c r="K10" s="149" t="s">
        <v>12</v>
      </c>
      <c r="L10" s="41"/>
      <c r="M10" s="46"/>
      <c r="N10" s="46"/>
      <c r="O10" s="46"/>
      <c r="P10" s="46"/>
      <c r="Q10" s="66"/>
      <c r="R10" s="66"/>
      <c r="S10" s="66"/>
      <c r="T10" s="66"/>
      <c r="U10" s="66"/>
      <c r="V10" s="66"/>
      <c r="W10" s="66"/>
      <c r="X10" s="66"/>
      <c r="Y10" s="66"/>
    </row>
    <row r="11" spans="1:25" ht="31.5" customHeight="1" x14ac:dyDescent="0.25">
      <c r="A11" s="131"/>
      <c r="B11" s="133"/>
      <c r="C11" s="133"/>
      <c r="D11" s="135"/>
      <c r="E11" s="43" t="s">
        <v>13</v>
      </c>
      <c r="F11" s="43" t="s">
        <v>14</v>
      </c>
      <c r="G11" s="43" t="s">
        <v>15</v>
      </c>
      <c r="H11" s="137"/>
      <c r="I11" s="152"/>
      <c r="J11" s="152"/>
      <c r="K11" s="150"/>
      <c r="L11" s="41"/>
      <c r="M11" s="46"/>
      <c r="N11" s="46"/>
      <c r="O11" s="46"/>
      <c r="P11" s="46"/>
      <c r="Q11" s="66"/>
      <c r="R11" s="66"/>
      <c r="S11" s="66"/>
      <c r="T11" s="66"/>
      <c r="U11" s="66"/>
      <c r="V11" s="66"/>
      <c r="W11" s="66"/>
      <c r="X11" s="66"/>
      <c r="Y11" s="66"/>
    </row>
    <row r="12" spans="1:25" ht="15" customHeight="1" x14ac:dyDescent="0.25">
      <c r="A12" s="47">
        <v>-1</v>
      </c>
      <c r="B12" s="148">
        <f>A12-1</f>
        <v>-2</v>
      </c>
      <c r="C12" s="148"/>
      <c r="D12" s="3">
        <f>B12-1</f>
        <v>-3</v>
      </c>
      <c r="E12" s="3">
        <f t="shared" ref="E12:K12" si="0">D12-1</f>
        <v>-4</v>
      </c>
      <c r="F12" s="3">
        <f t="shared" si="0"/>
        <v>-5</v>
      </c>
      <c r="G12" s="3">
        <f t="shared" si="0"/>
        <v>-6</v>
      </c>
      <c r="H12" s="3">
        <f t="shared" si="0"/>
        <v>-7</v>
      </c>
      <c r="I12" s="3">
        <f t="shared" si="0"/>
        <v>-8</v>
      </c>
      <c r="J12" s="3">
        <f t="shared" si="0"/>
        <v>-9</v>
      </c>
      <c r="K12" s="48">
        <f t="shared" si="0"/>
        <v>-10</v>
      </c>
      <c r="L12" s="41"/>
      <c r="M12" s="46"/>
      <c r="N12" s="46"/>
      <c r="O12" s="46"/>
      <c r="P12" s="46"/>
      <c r="Q12" s="66"/>
      <c r="R12" s="66"/>
      <c r="S12" s="66"/>
      <c r="T12" s="66"/>
      <c r="U12" s="66"/>
      <c r="V12" s="66"/>
      <c r="W12" s="66"/>
      <c r="X12" s="66"/>
      <c r="Y12" s="66"/>
    </row>
    <row r="13" spans="1:25" ht="53.25" customHeight="1" x14ac:dyDescent="0.25">
      <c r="A13" s="160">
        <v>1</v>
      </c>
      <c r="B13" s="160" t="s">
        <v>75</v>
      </c>
      <c r="C13" s="160"/>
      <c r="D13" s="160" t="s">
        <v>69</v>
      </c>
      <c r="E13" s="160">
        <v>1</v>
      </c>
      <c r="F13" s="160">
        <v>1</v>
      </c>
      <c r="G13" s="160">
        <v>100</v>
      </c>
      <c r="H13" s="160">
        <v>99</v>
      </c>
      <c r="I13" s="160"/>
      <c r="J13" s="164">
        <f>0.02*F13</f>
        <v>0.02</v>
      </c>
      <c r="K13" s="160"/>
      <c r="L13" s="41"/>
      <c r="M13" s="46"/>
      <c r="N13" s="46"/>
      <c r="O13" s="46"/>
      <c r="P13" s="46"/>
      <c r="Q13" s="66"/>
      <c r="R13" s="66"/>
      <c r="S13" s="66"/>
      <c r="T13" s="66"/>
      <c r="U13" s="66"/>
      <c r="V13" s="66"/>
      <c r="W13" s="66"/>
      <c r="X13" s="66"/>
      <c r="Y13" s="66"/>
    </row>
    <row r="14" spans="1:25" ht="53.25" customHeight="1" x14ac:dyDescent="0.25">
      <c r="A14" s="160">
        <v>2</v>
      </c>
      <c r="B14" s="162" t="s">
        <v>76</v>
      </c>
      <c r="C14" s="163"/>
      <c r="D14" s="160" t="s">
        <v>69</v>
      </c>
      <c r="E14" s="160">
        <v>21</v>
      </c>
      <c r="F14" s="160">
        <v>21</v>
      </c>
      <c r="G14" s="160">
        <v>100</v>
      </c>
      <c r="H14" s="160">
        <v>99</v>
      </c>
      <c r="I14" s="160"/>
      <c r="J14" s="164">
        <f>0.02*F14</f>
        <v>0.42</v>
      </c>
      <c r="K14" s="49"/>
      <c r="L14" s="41"/>
      <c r="M14" s="46"/>
      <c r="N14" s="46"/>
      <c r="O14" s="46"/>
      <c r="P14" s="46"/>
      <c r="Q14" s="66"/>
      <c r="R14" s="66"/>
      <c r="S14" s="66"/>
      <c r="T14" s="66"/>
      <c r="U14" s="66"/>
      <c r="V14" s="66"/>
      <c r="W14" s="66"/>
      <c r="X14" s="66"/>
      <c r="Y14" s="66"/>
    </row>
    <row r="15" spans="1:25" x14ac:dyDescent="0.25">
      <c r="A15" s="4">
        <v>3</v>
      </c>
      <c r="B15" s="100" t="s">
        <v>77</v>
      </c>
      <c r="C15" s="101"/>
      <c r="D15" s="5" t="s">
        <v>32</v>
      </c>
      <c r="E15" s="6">
        <v>40</v>
      </c>
      <c r="F15" s="6">
        <v>40</v>
      </c>
      <c r="G15" s="7">
        <v>100</v>
      </c>
      <c r="H15" s="8">
        <v>98</v>
      </c>
      <c r="I15" s="8" t="s">
        <v>78</v>
      </c>
      <c r="J15" s="164">
        <f>0.02*F15</f>
        <v>0.8</v>
      </c>
      <c r="K15" s="50"/>
      <c r="M15" s="46"/>
      <c r="N15" s="46"/>
      <c r="O15" s="46"/>
      <c r="P15" s="46"/>
      <c r="Q15" s="65"/>
      <c r="R15" s="65"/>
      <c r="S15" s="65"/>
      <c r="T15" s="65"/>
      <c r="U15" s="65"/>
      <c r="V15" s="65"/>
      <c r="W15" s="65"/>
      <c r="X15" s="65"/>
      <c r="Y15" s="65"/>
    </row>
    <row r="16" spans="1:25" x14ac:dyDescent="0.25">
      <c r="A16" s="140"/>
      <c r="B16" s="141"/>
      <c r="C16" s="141"/>
      <c r="D16" s="141"/>
      <c r="E16" s="141"/>
      <c r="F16" s="141"/>
      <c r="G16" s="141"/>
      <c r="H16" s="142"/>
      <c r="I16" s="42"/>
      <c r="J16" s="55">
        <f>SUM(J13:J15)</f>
        <v>1.24</v>
      </c>
      <c r="K16" s="138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 spans="1:24" x14ac:dyDescent="0.25">
      <c r="A17" s="140" t="s">
        <v>21</v>
      </c>
      <c r="B17" s="141"/>
      <c r="C17" s="141"/>
      <c r="D17" s="141"/>
      <c r="E17" s="141"/>
      <c r="F17" s="142"/>
      <c r="G17" s="39">
        <f>AVERAGE(G13:G15)</f>
        <v>100</v>
      </c>
      <c r="H17" s="39">
        <f>AVERAGE(H13:H15)</f>
        <v>98.666666666666671</v>
      </c>
      <c r="I17" s="42"/>
      <c r="J17" s="153"/>
      <c r="K17" s="138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spans="1:24" ht="15.75" thickBot="1" x14ac:dyDescent="0.3">
      <c r="A18" s="143" t="s">
        <v>22</v>
      </c>
      <c r="B18" s="144"/>
      <c r="C18" s="144"/>
      <c r="D18" s="144"/>
      <c r="E18" s="144"/>
      <c r="F18" s="145"/>
      <c r="G18" s="146">
        <f>AVERAGE(G17:H17)</f>
        <v>99.333333333333343</v>
      </c>
      <c r="H18" s="147"/>
      <c r="I18" s="51"/>
      <c r="J18" s="154"/>
      <c r="K18" s="139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spans="1:24" x14ac:dyDescent="0.25"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spans="1:24" x14ac:dyDescent="0.25">
      <c r="B20" s="122" t="s">
        <v>17</v>
      </c>
      <c r="C20" s="122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spans="1:24" x14ac:dyDescent="0.25">
      <c r="B21" s="123" t="s">
        <v>43</v>
      </c>
      <c r="C21" s="123"/>
    </row>
    <row r="23" spans="1:24" x14ac:dyDescent="0.25">
      <c r="A23" s="15"/>
      <c r="B23" s="104" t="s">
        <v>18</v>
      </c>
      <c r="C23" s="104"/>
      <c r="D23" s="15"/>
      <c r="E23" s="104" t="s">
        <v>19</v>
      </c>
      <c r="F23" s="104"/>
      <c r="G23" s="104"/>
    </row>
    <row r="24" spans="1:24" x14ac:dyDescent="0.25">
      <c r="A24" s="15"/>
      <c r="B24" s="104" t="s">
        <v>71</v>
      </c>
      <c r="C24" s="104"/>
      <c r="D24" s="15"/>
      <c r="E24" s="81" t="s">
        <v>72</v>
      </c>
      <c r="F24" s="15"/>
      <c r="G24" s="15"/>
    </row>
    <row r="25" spans="1:24" x14ac:dyDescent="0.25">
      <c r="A25" s="15"/>
      <c r="B25" s="15"/>
      <c r="C25" s="16"/>
      <c r="D25" s="15"/>
      <c r="E25" s="15"/>
      <c r="F25" s="15"/>
      <c r="G25" s="15"/>
    </row>
    <row r="26" spans="1:24" x14ac:dyDescent="0.25">
      <c r="A26" s="15"/>
      <c r="B26" s="15"/>
      <c r="D26" s="15"/>
      <c r="E26" s="15"/>
      <c r="G26" s="15"/>
    </row>
    <row r="27" spans="1:24" x14ac:dyDescent="0.25">
      <c r="A27" s="15"/>
      <c r="B27" s="105" t="s">
        <v>65</v>
      </c>
      <c r="C27" s="105"/>
      <c r="D27" s="15"/>
      <c r="E27" s="103" t="s">
        <v>64</v>
      </c>
      <c r="F27" s="103"/>
      <c r="G27" s="103"/>
    </row>
    <row r="28" spans="1:24" x14ac:dyDescent="0.25">
      <c r="A28" s="15"/>
      <c r="B28" s="106" t="s">
        <v>66</v>
      </c>
      <c r="C28" s="106"/>
      <c r="D28" s="15"/>
      <c r="E28" s="102" t="s">
        <v>67</v>
      </c>
      <c r="F28" s="102"/>
      <c r="G28" s="102"/>
    </row>
  </sheetData>
  <mergeCells count="32">
    <mergeCell ref="K16:K18"/>
    <mergeCell ref="A5:B5"/>
    <mergeCell ref="A6:B6"/>
    <mergeCell ref="A7:B7"/>
    <mergeCell ref="A8:B8"/>
    <mergeCell ref="A16:H16"/>
    <mergeCell ref="A17:F17"/>
    <mergeCell ref="A18:F18"/>
    <mergeCell ref="G18:H18"/>
    <mergeCell ref="B12:C12"/>
    <mergeCell ref="K10:K11"/>
    <mergeCell ref="I10:I11"/>
    <mergeCell ref="J10:J11"/>
    <mergeCell ref="J17:J18"/>
    <mergeCell ref="H2:I2"/>
    <mergeCell ref="A3:I3"/>
    <mergeCell ref="A10:A11"/>
    <mergeCell ref="B10:C11"/>
    <mergeCell ref="D10:D11"/>
    <mergeCell ref="E10:G10"/>
    <mergeCell ref="H10:H11"/>
    <mergeCell ref="B14:C14"/>
    <mergeCell ref="E27:G27"/>
    <mergeCell ref="E28:G28"/>
    <mergeCell ref="B20:C20"/>
    <mergeCell ref="B21:C21"/>
    <mergeCell ref="B28:C28"/>
    <mergeCell ref="B27:C27"/>
    <mergeCell ref="B23:C23"/>
    <mergeCell ref="B24:C24"/>
    <mergeCell ref="E23:G23"/>
    <mergeCell ref="B15:C15"/>
  </mergeCells>
  <pageMargins left="0.7" right="0.22" top="0.32" bottom="0.24" header="0.2" footer="0.22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  <vt:lpstr>'LP Okt14'!Print_Titles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ipds</cp:lastModifiedBy>
  <cp:lastPrinted>2016-01-06T23:37:17Z</cp:lastPrinted>
  <dcterms:created xsi:type="dcterms:W3CDTF">2014-11-23T23:48:32Z</dcterms:created>
  <dcterms:modified xsi:type="dcterms:W3CDTF">2016-04-05T02:53:27Z</dcterms:modified>
</cp:coreProperties>
</file>